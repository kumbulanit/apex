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Directory" sheetId="1" state="visible" r:id="rId1"/>
    <sheet name="Province Summary" sheetId="2" state="visible" r:id="rId2"/>
    <sheet name="City Coverage" sheetId="3" state="visible" r:id="rId3"/>
    <sheet name="Contacts" sheetId="4" state="visible" r:id="rId4"/>
    <sheet name="Opening Timeline" sheetId="5" state="visible" r:id="rId5"/>
    <sheet name="Status Dashboard" sheetId="6" state="visible" r:id="rId6"/>
  </sheets>
  <definedNames>
    <definedName name="_xlnm._FilterDatabase" localSheetId="0" hidden="1">'Store Directory'!$A$1:$K$16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BE5D6"/>
        <bgColor rgb="00FBE5D6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3" borderId="0" pivotButton="0" quotePrefix="0" xfId="0"/>
    <xf numFmtId="166" fontId="0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Store Status Mix</a:t>
            </a:r>
          </a:p>
        </rich>
      </tx>
    </title>
    <plotArea>
      <pieChart>
        <varyColors val="1"/>
        <ser>
          <idx val="0"/>
          <order val="0"/>
          <tx>
            <strRef>
              <f>'Status Dashboard'!B1</f>
            </strRef>
          </tx>
          <spPr>
            <a:ln>
              <a:prstDash val="solid"/>
            </a:ln>
          </spPr>
          <cat>
            <numRef>
              <f>'Status Dashboard'!$A$2</f>
            </numRef>
          </cat>
          <val>
            <numRef>
              <f>'Status Dashboard'!$B$2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30" customWidth="1" min="5" max="5"/>
    <col width="12" customWidth="1" min="6" max="6"/>
    <col width="20" customWidth="1" min="7" max="7"/>
    <col width="14" customWidth="1" min="8" max="8"/>
    <col width="28" customWidth="1" min="9" max="9"/>
    <col width="14" customWidth="1" min="10" max="10"/>
    <col width="10" customWidth="1" min="11" max="11"/>
  </cols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PROVINCE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POSTAL_CODE</t>
        </is>
      </c>
      <c r="G1" s="1" t="inlineStr">
        <is>
          <t>MANAGER_NAME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OPENING_DATE</t>
        </is>
      </c>
      <c r="K1" s="1" t="inlineStr">
        <is>
          <t>STATUS</t>
        </is>
      </c>
    </row>
    <row r="2">
      <c r="A2" t="n">
        <v>1</v>
      </c>
      <c r="B2" t="inlineStr">
        <is>
          <t>Vodacom Sandton City</t>
        </is>
      </c>
      <c r="C2" t="inlineStr">
        <is>
          <t>Gauteng</t>
        </is>
      </c>
      <c r="D2" t="inlineStr">
        <is>
          <t>Sandton</t>
        </is>
      </c>
      <c r="E2" t="inlineStr">
        <is>
          <t>Sandton City Shopping Centre</t>
        </is>
      </c>
      <c r="F2" t="inlineStr">
        <is>
          <t>2196</t>
        </is>
      </c>
      <c r="G2" t="inlineStr">
        <is>
          <t>Thabo Nkosi</t>
        </is>
      </c>
      <c r="H2" t="inlineStr">
        <is>
          <t>0821234567</t>
        </is>
      </c>
      <c r="I2" t="inlineStr">
        <is>
          <t>sandton@vodacom.co.za</t>
        </is>
      </c>
      <c r="J2" s="2" t="n">
        <v>42078</v>
      </c>
      <c r="K2" t="inlineStr">
        <is>
          <t>Active</t>
        </is>
      </c>
    </row>
    <row r="3">
      <c r="A3" t="n">
        <v>2</v>
      </c>
      <c r="B3" t="inlineStr">
        <is>
          <t>Vodacom V&amp;A Waterfront</t>
        </is>
      </c>
      <c r="C3" t="inlineStr">
        <is>
          <t>Western Cape</t>
        </is>
      </c>
      <c r="D3" t="inlineStr">
        <is>
          <t>Cape Town</t>
        </is>
      </c>
      <c r="E3" t="inlineStr">
        <is>
          <t>Victoria Wharf Shopping Centre</t>
        </is>
      </c>
      <c r="F3" t="inlineStr">
        <is>
          <t>8001</t>
        </is>
      </c>
      <c r="G3" t="inlineStr">
        <is>
          <t>Lerato Dlamini</t>
        </is>
      </c>
      <c r="H3" t="inlineStr">
        <is>
          <t>0827654321</t>
        </is>
      </c>
      <c r="I3" t="inlineStr">
        <is>
          <t>vawaterfront@vodacom.co.za</t>
        </is>
      </c>
      <c r="J3" s="2" t="n">
        <v>41810</v>
      </c>
      <c r="K3" t="inlineStr">
        <is>
          <t>Active</t>
        </is>
      </c>
    </row>
    <row r="4">
      <c r="A4" t="n">
        <v>3</v>
      </c>
      <c r="B4" t="inlineStr">
        <is>
          <t>Vodacom Gateway Durban</t>
        </is>
      </c>
      <c r="C4" t="inlineStr">
        <is>
          <t>KwaZulu-Natal</t>
        </is>
      </c>
      <c r="D4" t="inlineStr">
        <is>
          <t>Durban</t>
        </is>
      </c>
      <c r="E4" t="inlineStr">
        <is>
          <t>Gateway Theatre of Shopping</t>
        </is>
      </c>
      <c r="F4" t="inlineStr">
        <is>
          <t>4319</t>
        </is>
      </c>
      <c r="G4" t="inlineStr">
        <is>
          <t>Sipho Radebe</t>
        </is>
      </c>
      <c r="H4" t="inlineStr">
        <is>
          <t>0823456789</t>
        </is>
      </c>
      <c r="I4" t="inlineStr">
        <is>
          <t>gateway@vodacom.co.za</t>
        </is>
      </c>
      <c r="J4" s="2" t="n">
        <v>42379</v>
      </c>
      <c r="K4" t="inlineStr">
        <is>
          <t>Active</t>
        </is>
      </c>
    </row>
    <row r="5">
      <c r="A5" t="n">
        <v>4</v>
      </c>
      <c r="B5" t="inlineStr">
        <is>
          <t>Vodacom Menlyn Park</t>
        </is>
      </c>
      <c r="C5" t="inlineStr">
        <is>
          <t>Gauteng</t>
        </is>
      </c>
      <c r="D5" t="inlineStr">
        <is>
          <t>Pretoria</t>
        </is>
      </c>
      <c r="E5" t="inlineStr">
        <is>
          <t>Menlyn Park Shopping Centre</t>
        </is>
      </c>
      <c r="F5" t="inlineStr">
        <is>
          <t>0181</t>
        </is>
      </c>
      <c r="G5" t="inlineStr">
        <is>
          <t>Nomsa Khumalo</t>
        </is>
      </c>
      <c r="H5" t="inlineStr">
        <is>
          <t>0829876543</t>
        </is>
      </c>
      <c r="I5" t="inlineStr">
        <is>
          <t>menlyn@vodacom.co.za</t>
        </is>
      </c>
      <c r="J5" s="2" t="n">
        <v>42238</v>
      </c>
      <c r="K5" t="inlineStr">
        <is>
          <t>Active</t>
        </is>
      </c>
    </row>
    <row r="6">
      <c r="A6" t="n">
        <v>5</v>
      </c>
      <c r="B6" t="inlineStr">
        <is>
          <t>Vodacom Canal Walk</t>
        </is>
      </c>
      <c r="C6" t="inlineStr">
        <is>
          <t>Western Cape</t>
        </is>
      </c>
      <c r="D6" t="inlineStr">
        <is>
          <t>Cape Town</t>
        </is>
      </c>
      <c r="E6" t="inlineStr">
        <is>
          <t>Canal Walk Shopping Centre</t>
        </is>
      </c>
      <c r="F6" t="inlineStr">
        <is>
          <t>7441</t>
        </is>
      </c>
      <c r="G6" t="inlineStr">
        <is>
          <t>Bongani Sithole</t>
        </is>
      </c>
      <c r="H6" t="inlineStr">
        <is>
          <t>0826543210</t>
        </is>
      </c>
      <c r="I6" t="inlineStr">
        <is>
          <t>canalwalk@vodacom.co.za</t>
        </is>
      </c>
      <c r="J6" s="2" t="n">
        <v>42780</v>
      </c>
      <c r="K6" t="inlineStr">
        <is>
          <t>Active</t>
        </is>
      </c>
    </row>
    <row r="7">
      <c r="A7" t="n">
        <v>6</v>
      </c>
      <c r="B7" t="inlineStr">
        <is>
          <t>Vodacom Pavilion</t>
        </is>
      </c>
      <c r="C7" t="inlineStr">
        <is>
          <t>KwaZulu-Natal</t>
        </is>
      </c>
      <c r="D7" t="inlineStr">
        <is>
          <t>Durban</t>
        </is>
      </c>
      <c r="E7" t="inlineStr">
        <is>
          <t>The Pavilion Shopping Centre</t>
        </is>
      </c>
      <c r="F7" t="inlineStr">
        <is>
          <t>3629</t>
        </is>
      </c>
      <c r="G7" t="inlineStr">
        <is>
          <t>Zanele Mthethwa</t>
        </is>
      </c>
      <c r="H7" t="inlineStr">
        <is>
          <t>0824567890</t>
        </is>
      </c>
      <c r="I7" t="inlineStr">
        <is>
          <t>pavilion@vodacom.co.za</t>
        </is>
      </c>
      <c r="J7" s="2" t="n">
        <v>42618</v>
      </c>
      <c r="K7" t="inlineStr">
        <is>
          <t>Active</t>
        </is>
      </c>
    </row>
    <row r="8">
      <c r="A8" t="n">
        <v>7</v>
      </c>
      <c r="B8" t="inlineStr">
        <is>
          <t>Vodacom Mall of Africa</t>
        </is>
      </c>
      <c r="C8" t="inlineStr">
        <is>
          <t>Gauteng</t>
        </is>
      </c>
      <c r="D8" t="inlineStr">
        <is>
          <t>Midrand</t>
        </is>
      </c>
      <c r="E8" t="inlineStr">
        <is>
          <t>Mall of Africa</t>
        </is>
      </c>
      <c r="F8" t="inlineStr">
        <is>
          <t>1685</t>
        </is>
      </c>
      <c r="G8" t="inlineStr">
        <is>
          <t>Mandla Zulu</t>
        </is>
      </c>
      <c r="H8" t="inlineStr">
        <is>
          <t>0828765432</t>
        </is>
      </c>
      <c r="I8" t="inlineStr">
        <is>
          <t>mallafrica@vodacom.co.za</t>
        </is>
      </c>
      <c r="J8" s="2" t="n">
        <v>43191</v>
      </c>
      <c r="K8" t="inlineStr">
        <is>
          <t>Active</t>
        </is>
      </c>
    </row>
    <row r="9">
      <c r="A9" t="n">
        <v>8</v>
      </c>
      <c r="B9" t="inlineStr">
        <is>
          <t>Vodacom Rosebank Mall</t>
        </is>
      </c>
      <c r="C9" t="inlineStr">
        <is>
          <t>Gauteng</t>
        </is>
      </c>
      <c r="D9" t="inlineStr">
        <is>
          <t>Johannesburg</t>
        </is>
      </c>
      <c r="E9" t="inlineStr">
        <is>
          <t>Rosebank Mall</t>
        </is>
      </c>
      <c r="F9" t="inlineStr">
        <is>
          <t>2196</t>
        </is>
      </c>
      <c r="G9" t="inlineStr">
        <is>
          <t>Palesa Mokoena</t>
        </is>
      </c>
      <c r="H9" t="inlineStr">
        <is>
          <t>0825678901</t>
        </is>
      </c>
      <c r="I9" t="inlineStr">
        <is>
          <t>rosebank@vodacom.co.za</t>
        </is>
      </c>
      <c r="J9" s="2" t="n">
        <v>41973</v>
      </c>
      <c r="K9" t="inlineStr">
        <is>
          <t>Active</t>
        </is>
      </c>
    </row>
    <row r="10">
      <c r="A10" t="n">
        <v>9</v>
      </c>
      <c r="B10" t="inlineStr">
        <is>
          <t>Vodacom Centurion Mall</t>
        </is>
      </c>
      <c r="C10" t="inlineStr">
        <is>
          <t>Gauteng</t>
        </is>
      </c>
      <c r="D10" t="inlineStr">
        <is>
          <t>Centurion</t>
        </is>
      </c>
      <c r="E10" t="inlineStr">
        <is>
          <t>Centurion Mall</t>
        </is>
      </c>
      <c r="F10" t="inlineStr">
        <is>
          <t>0157</t>
        </is>
      </c>
      <c r="G10" t="inlineStr">
        <is>
          <t>Thulani Ngubane</t>
        </is>
      </c>
      <c r="H10" t="inlineStr">
        <is>
          <t>0827890123</t>
        </is>
      </c>
      <c r="I10" t="inlineStr">
        <is>
          <t>centurion@vodacom.co.za</t>
        </is>
      </c>
      <c r="J10" s="2" t="n">
        <v>42934</v>
      </c>
      <c r="K10" t="inlineStr">
        <is>
          <t>Active</t>
        </is>
      </c>
    </row>
    <row r="11">
      <c r="A11" t="n">
        <v>10</v>
      </c>
      <c r="B11" t="inlineStr">
        <is>
          <t>Vodacom Tyger Valley</t>
        </is>
      </c>
      <c r="C11" t="inlineStr">
        <is>
          <t>Western Cape</t>
        </is>
      </c>
      <c r="D11" t="inlineStr">
        <is>
          <t>Cape Town</t>
        </is>
      </c>
      <c r="E11" t="inlineStr">
        <is>
          <t>Tyger Valley Shopping Centre</t>
        </is>
      </c>
      <c r="F11" t="inlineStr">
        <is>
          <t>7530</t>
        </is>
      </c>
      <c r="G11" t="inlineStr">
        <is>
          <t>Mbali Dube</t>
        </is>
      </c>
      <c r="H11" t="inlineStr">
        <is>
          <t>0823210987</t>
        </is>
      </c>
      <c r="I11" t="inlineStr">
        <is>
          <t>tygervalley@vodacom.co.za</t>
        </is>
      </c>
      <c r="J11" s="2" t="n">
        <v>42348</v>
      </c>
      <c r="K11" t="inlineStr">
        <is>
          <t>Active</t>
        </is>
      </c>
    </row>
    <row r="12">
      <c r="A12" t="n">
        <v>11</v>
      </c>
      <c r="B12" t="inlineStr">
        <is>
          <t>Vodacom Eastgate</t>
        </is>
      </c>
      <c r="C12" t="inlineStr">
        <is>
          <t>Gauteng</t>
        </is>
      </c>
      <c r="D12" t="inlineStr">
        <is>
          <t>Johannesburg</t>
        </is>
      </c>
      <c r="E12" t="inlineStr">
        <is>
          <t>Eastgate Shopping Centre</t>
        </is>
      </c>
      <c r="F12" t="inlineStr">
        <is>
          <t>2090</t>
        </is>
      </c>
      <c r="G12" t="inlineStr">
        <is>
          <t>Kagiso Mabaso</t>
        </is>
      </c>
      <c r="H12" t="inlineStr">
        <is>
          <t>0826789012</t>
        </is>
      </c>
      <c r="I12" t="inlineStr">
        <is>
          <t>eastgate@vodacom.co.za</t>
        </is>
      </c>
      <c r="J12" s="2" t="n">
        <v>42515</v>
      </c>
      <c r="K12" t="inlineStr">
        <is>
          <t>Active</t>
        </is>
      </c>
    </row>
    <row r="13">
      <c r="A13" t="n">
        <v>12</v>
      </c>
      <c r="B13" t="inlineStr">
        <is>
          <t>Vodacom Cresta</t>
        </is>
      </c>
      <c r="C13" t="inlineStr">
        <is>
          <t>Gauteng</t>
        </is>
      </c>
      <c r="D13" t="inlineStr">
        <is>
          <t>Johannesburg</t>
        </is>
      </c>
      <c r="E13" t="inlineStr">
        <is>
          <t>Cresta Shopping Centre</t>
        </is>
      </c>
      <c r="F13" t="inlineStr">
        <is>
          <t>2194</t>
        </is>
      </c>
      <c r="G13" t="inlineStr">
        <is>
          <t>Lindiwe Shabalala</t>
        </is>
      </c>
      <c r="H13" t="inlineStr">
        <is>
          <t>0829012345</t>
        </is>
      </c>
      <c r="I13" t="inlineStr">
        <is>
          <t>cresta@vodacom.co.za</t>
        </is>
      </c>
      <c r="J13" s="2" t="n">
        <v>42255</v>
      </c>
      <c r="K13" t="inlineStr">
        <is>
          <t>Active</t>
        </is>
      </c>
    </row>
    <row r="14">
      <c r="A14" t="n">
        <v>13</v>
      </c>
      <c r="B14" t="inlineStr">
        <is>
          <t>Vodacom Ushaka Marine</t>
        </is>
      </c>
      <c r="C14" t="inlineStr">
        <is>
          <t>KwaZulu-Natal</t>
        </is>
      </c>
      <c r="D14" t="inlineStr">
        <is>
          <t>Durban</t>
        </is>
      </c>
      <c r="E14" t="inlineStr">
        <is>
          <t>Ushaka Marine World</t>
        </is>
      </c>
      <c r="F14" t="inlineStr">
        <is>
          <t>4001</t>
        </is>
      </c>
      <c r="G14" t="inlineStr">
        <is>
          <t>Nhlanhla Cele</t>
        </is>
      </c>
      <c r="H14" t="inlineStr">
        <is>
          <t>0824321098</t>
        </is>
      </c>
      <c r="I14" t="inlineStr">
        <is>
          <t>ushaka@vodacom.co.za</t>
        </is>
      </c>
      <c r="J14" s="2" t="n">
        <v>42814</v>
      </c>
      <c r="K14" t="inlineStr">
        <is>
          <t>Active</t>
        </is>
      </c>
    </row>
    <row r="15">
      <c r="A15" t="n">
        <v>14</v>
      </c>
      <c r="B15" t="inlineStr">
        <is>
          <t>Vodacom Brooklyn Mall</t>
        </is>
      </c>
      <c r="C15" t="inlineStr">
        <is>
          <t>Gauteng</t>
        </is>
      </c>
      <c r="D15" t="inlineStr">
        <is>
          <t>Pretoria</t>
        </is>
      </c>
      <c r="E15" t="inlineStr">
        <is>
          <t>Brooklyn Mall</t>
        </is>
      </c>
      <c r="F15" t="inlineStr">
        <is>
          <t>0181</t>
        </is>
      </c>
      <c r="G15" t="inlineStr">
        <is>
          <t>Thandiwe Madonsela</t>
        </is>
      </c>
      <c r="H15" t="inlineStr">
        <is>
          <t>0828901234</t>
        </is>
      </c>
      <c r="I15" t="inlineStr">
        <is>
          <t>brooklyn@vodacom.co.za</t>
        </is>
      </c>
      <c r="J15" s="2" t="n">
        <v>42655</v>
      </c>
      <c r="K15" t="inlineStr">
        <is>
          <t>Active</t>
        </is>
      </c>
    </row>
    <row r="16">
      <c r="A16" t="n">
        <v>15</v>
      </c>
      <c r="B16" t="inlineStr">
        <is>
          <t>Vodacom Woodmead</t>
        </is>
      </c>
      <c r="C16" t="inlineStr">
        <is>
          <t>Gauteng</t>
        </is>
      </c>
      <c r="D16" t="inlineStr">
        <is>
          <t>Johannesburg</t>
        </is>
      </c>
      <c r="E16" t="inlineStr">
        <is>
          <t>Woodmead Retail Park</t>
        </is>
      </c>
      <c r="F16" t="inlineStr">
        <is>
          <t>2191</t>
        </is>
      </c>
      <c r="G16" t="inlineStr">
        <is>
          <t>Sello Maloka</t>
        </is>
      </c>
      <c r="H16" t="inlineStr">
        <is>
          <t>0825432109</t>
        </is>
      </c>
      <c r="I16" t="inlineStr">
        <is>
          <t>woodmead@vodacom.co.za</t>
        </is>
      </c>
      <c r="J16" s="2" t="n">
        <v>43115</v>
      </c>
      <c r="K16" t="inlineStr">
        <is>
          <t>Active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Province</t>
        </is>
      </c>
      <c r="B1" s="1" t="inlineStr">
        <is>
          <t>Active Stores</t>
        </is>
      </c>
      <c r="C1" s="1" t="inlineStr">
        <is>
          <t>First Opening</t>
        </is>
      </c>
      <c r="D1" s="1" t="inlineStr">
        <is>
          <t>Latest Opening</t>
        </is>
      </c>
      <c r="E1" s="1" t="inlineStr">
        <is>
          <t>Sample Manager</t>
        </is>
      </c>
    </row>
    <row r="2">
      <c r="A2" t="inlineStr">
        <is>
          <t>Gauteng</t>
        </is>
      </c>
      <c r="B2">
        <f>COUNTIFS('Store Directory'!C:C,A2,'Store Directory'!K:K,"Active")</f>
        <v/>
      </c>
      <c r="C2" s="2">
        <f>MINIFS('Store Directory'!J:J,'Store Directory'!C:C,A2)</f>
        <v/>
      </c>
      <c r="D2" s="2">
        <f>MAXIFS('Store Directory'!J:J,'Store Directory'!C:C,A2)</f>
        <v/>
      </c>
      <c r="E2">
        <f>INDEX('Store Directory'!G:G,MATCH(A2,'Store Directory'!C:C,0))</f>
        <v/>
      </c>
    </row>
    <row r="3">
      <c r="A3" t="inlineStr">
        <is>
          <t>KwaZulu-Natal</t>
        </is>
      </c>
      <c r="B3">
        <f>COUNTIFS('Store Directory'!C:C,A3,'Store Directory'!K:K,"Active")</f>
        <v/>
      </c>
      <c r="C3" s="2">
        <f>MINIFS('Store Directory'!J:J,'Store Directory'!C:C,A3)</f>
        <v/>
      </c>
      <c r="D3" s="2">
        <f>MAXIFS('Store Directory'!J:J,'Store Directory'!C:C,A3)</f>
        <v/>
      </c>
      <c r="E3">
        <f>INDEX('Store Directory'!G:G,MATCH(A3,'Store Directory'!C:C,0))</f>
        <v/>
      </c>
    </row>
    <row r="4">
      <c r="A4" t="inlineStr">
        <is>
          <t>Western Cape</t>
        </is>
      </c>
      <c r="B4">
        <f>COUNTIFS('Store Directory'!C:C,A4,'Store Directory'!K:K,"Active")</f>
        <v/>
      </c>
      <c r="C4" s="2">
        <f>MINIFS('Store Directory'!J:J,'Store Directory'!C:C,A4)</f>
        <v/>
      </c>
      <c r="D4" s="2">
        <f>MAXIFS('Store Directory'!J:J,'Store Directory'!C:C,A4)</f>
        <v/>
      </c>
      <c r="E4">
        <f>INDEX('Store Directory'!G:G,MATCH(A4,'Store Directory'!C:C,0))</f>
        <v/>
      </c>
    </row>
    <row r="5">
      <c r="A5" s="3" t="inlineStr">
        <is>
          <t>TOTAL</t>
        </is>
      </c>
      <c r="B5" s="3">
        <f>SUM(B2:B4)</f>
        <v/>
      </c>
      <c r="C5" s="3" t="inlineStr"/>
      <c r="D5" s="3" t="inlineStr"/>
      <c r="E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Store Count</t>
        </is>
      </c>
      <c r="D1" s="1" t="inlineStr">
        <is>
          <t>% of Total Stores</t>
        </is>
      </c>
    </row>
    <row r="2">
      <c r="A2" t="inlineStr">
        <is>
          <t>Gauteng</t>
        </is>
      </c>
      <c r="B2" t="inlineStr">
        <is>
          <t>Centurion</t>
        </is>
      </c>
      <c r="C2" t="n">
        <v>1</v>
      </c>
      <c r="D2" s="4" t="n">
        <v>0.06666666666666667</v>
      </c>
    </row>
    <row r="3">
      <c r="A3" t="inlineStr">
        <is>
          <t>Gauteng</t>
        </is>
      </c>
      <c r="B3" t="inlineStr">
        <is>
          <t>Johannesburg</t>
        </is>
      </c>
      <c r="C3" t="n">
        <v>4</v>
      </c>
      <c r="D3" s="4" t="n">
        <v>0.2666666666666667</v>
      </c>
    </row>
    <row r="4">
      <c r="A4" t="inlineStr">
        <is>
          <t>Gauteng</t>
        </is>
      </c>
      <c r="B4" t="inlineStr">
        <is>
          <t>Midrand</t>
        </is>
      </c>
      <c r="C4" t="n">
        <v>1</v>
      </c>
      <c r="D4" s="4" t="n">
        <v>0.06666666666666667</v>
      </c>
    </row>
    <row r="5">
      <c r="A5" t="inlineStr">
        <is>
          <t>Gauteng</t>
        </is>
      </c>
      <c r="B5" t="inlineStr">
        <is>
          <t>Pretoria</t>
        </is>
      </c>
      <c r="C5" t="n">
        <v>2</v>
      </c>
      <c r="D5" s="4" t="n">
        <v>0.1333333333333333</v>
      </c>
    </row>
    <row r="6">
      <c r="A6" t="inlineStr">
        <is>
          <t>Gauteng</t>
        </is>
      </c>
      <c r="B6" t="inlineStr">
        <is>
          <t>Sandton</t>
        </is>
      </c>
      <c r="C6" t="n">
        <v>1</v>
      </c>
      <c r="D6" s="4" t="n">
        <v>0.06666666666666667</v>
      </c>
    </row>
    <row r="7">
      <c r="A7" t="inlineStr">
        <is>
          <t>KwaZulu-Natal</t>
        </is>
      </c>
      <c r="B7" t="inlineStr">
        <is>
          <t>Durban</t>
        </is>
      </c>
      <c r="C7" t="n">
        <v>3</v>
      </c>
      <c r="D7" s="4" t="n">
        <v>0.2</v>
      </c>
    </row>
    <row r="8">
      <c r="A8" t="inlineStr">
        <is>
          <t>Western Cape</t>
        </is>
      </c>
      <c r="B8" t="inlineStr">
        <is>
          <t>Cape Town</t>
        </is>
      </c>
      <c r="C8" t="n">
        <v>3</v>
      </c>
      <c r="D8" s="4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28" customWidth="1" min="4" max="4"/>
    <col width="18" customWidth="1" min="5" max="5"/>
    <col width="18" customWidth="1" min="6" max="6"/>
  </cols>
  <sheetData>
    <row r="1">
      <c r="A1" s="1" t="inlineStr">
        <is>
          <t>Store</t>
        </is>
      </c>
      <c r="B1" s="1" t="inlineStr">
        <is>
          <t>Manager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Province</t>
        </is>
      </c>
      <c r="F1" s="1" t="inlineStr">
        <is>
          <t>City</t>
        </is>
      </c>
    </row>
    <row r="2">
      <c r="A2" t="inlineStr">
        <is>
          <t>Vodacom Sandton City</t>
        </is>
      </c>
      <c r="B2" t="inlineStr">
        <is>
          <t>Thabo Nkosi</t>
        </is>
      </c>
      <c r="C2" t="inlineStr">
        <is>
          <t>0821234567</t>
        </is>
      </c>
      <c r="D2" t="inlineStr">
        <is>
          <t>sandton@vodacom.co.za</t>
        </is>
      </c>
      <c r="E2" t="inlineStr">
        <is>
          <t>Gauteng</t>
        </is>
      </c>
      <c r="F2" t="inlineStr">
        <is>
          <t>Sandton</t>
        </is>
      </c>
    </row>
    <row r="3">
      <c r="A3" t="inlineStr">
        <is>
          <t>Vodacom V&amp;A Waterfront</t>
        </is>
      </c>
      <c r="B3" t="inlineStr">
        <is>
          <t>Lerato Dlamini</t>
        </is>
      </c>
      <c r="C3" t="inlineStr">
        <is>
          <t>0827654321</t>
        </is>
      </c>
      <c r="D3" t="inlineStr">
        <is>
          <t>vawaterfront@vodacom.co.za</t>
        </is>
      </c>
      <c r="E3" t="inlineStr">
        <is>
          <t>Western Cape</t>
        </is>
      </c>
      <c r="F3" t="inlineStr">
        <is>
          <t>Cape Town</t>
        </is>
      </c>
    </row>
    <row r="4">
      <c r="A4" t="inlineStr">
        <is>
          <t>Vodacom Gateway Durban</t>
        </is>
      </c>
      <c r="B4" t="inlineStr">
        <is>
          <t>Sipho Radebe</t>
        </is>
      </c>
      <c r="C4" t="inlineStr">
        <is>
          <t>0823456789</t>
        </is>
      </c>
      <c r="D4" t="inlineStr">
        <is>
          <t>gateway@vodacom.co.za</t>
        </is>
      </c>
      <c r="E4" t="inlineStr">
        <is>
          <t>KwaZulu-Natal</t>
        </is>
      </c>
      <c r="F4" t="inlineStr">
        <is>
          <t>Durban</t>
        </is>
      </c>
    </row>
    <row r="5">
      <c r="A5" t="inlineStr">
        <is>
          <t>Vodacom Menlyn Park</t>
        </is>
      </c>
      <c r="B5" t="inlineStr">
        <is>
          <t>Nomsa Khumalo</t>
        </is>
      </c>
      <c r="C5" t="inlineStr">
        <is>
          <t>0829876543</t>
        </is>
      </c>
      <c r="D5" t="inlineStr">
        <is>
          <t>menlyn@vodacom.co.za</t>
        </is>
      </c>
      <c r="E5" t="inlineStr">
        <is>
          <t>Gauteng</t>
        </is>
      </c>
      <c r="F5" t="inlineStr">
        <is>
          <t>Pretoria</t>
        </is>
      </c>
    </row>
    <row r="6">
      <c r="A6" t="inlineStr">
        <is>
          <t>Vodacom Canal Walk</t>
        </is>
      </c>
      <c r="B6" t="inlineStr">
        <is>
          <t>Bongani Sithole</t>
        </is>
      </c>
      <c r="C6" t="inlineStr">
        <is>
          <t>0826543210</t>
        </is>
      </c>
      <c r="D6" t="inlineStr">
        <is>
          <t>canalwalk@vodacom.co.za</t>
        </is>
      </c>
      <c r="E6" t="inlineStr">
        <is>
          <t>Western Cape</t>
        </is>
      </c>
      <c r="F6" t="inlineStr">
        <is>
          <t>Cape Town</t>
        </is>
      </c>
    </row>
    <row r="7">
      <c r="A7" t="inlineStr">
        <is>
          <t>Vodacom Pavilion</t>
        </is>
      </c>
      <c r="B7" t="inlineStr">
        <is>
          <t>Zanele Mthethwa</t>
        </is>
      </c>
      <c r="C7" t="inlineStr">
        <is>
          <t>0824567890</t>
        </is>
      </c>
      <c r="D7" t="inlineStr">
        <is>
          <t>pavilion@vodacom.co.za</t>
        </is>
      </c>
      <c r="E7" t="inlineStr">
        <is>
          <t>KwaZulu-Natal</t>
        </is>
      </c>
      <c r="F7" t="inlineStr">
        <is>
          <t>Durban</t>
        </is>
      </c>
    </row>
    <row r="8">
      <c r="A8" t="inlineStr">
        <is>
          <t>Vodacom Mall of Africa</t>
        </is>
      </c>
      <c r="B8" t="inlineStr">
        <is>
          <t>Mandla Zulu</t>
        </is>
      </c>
      <c r="C8" t="inlineStr">
        <is>
          <t>0828765432</t>
        </is>
      </c>
      <c r="D8" t="inlineStr">
        <is>
          <t>mallafrica@vodacom.co.za</t>
        </is>
      </c>
      <c r="E8" t="inlineStr">
        <is>
          <t>Gauteng</t>
        </is>
      </c>
      <c r="F8" t="inlineStr">
        <is>
          <t>Midrand</t>
        </is>
      </c>
    </row>
    <row r="9">
      <c r="A9" t="inlineStr">
        <is>
          <t>Vodacom Rosebank Mall</t>
        </is>
      </c>
      <c r="B9" t="inlineStr">
        <is>
          <t>Palesa Mokoena</t>
        </is>
      </c>
      <c r="C9" t="inlineStr">
        <is>
          <t>0825678901</t>
        </is>
      </c>
      <c r="D9" t="inlineStr">
        <is>
          <t>rosebank@vodacom.co.za</t>
        </is>
      </c>
      <c r="E9" t="inlineStr">
        <is>
          <t>Gauteng</t>
        </is>
      </c>
      <c r="F9" t="inlineStr">
        <is>
          <t>Johannesburg</t>
        </is>
      </c>
    </row>
    <row r="10">
      <c r="A10" t="inlineStr">
        <is>
          <t>Vodacom Centurion Mall</t>
        </is>
      </c>
      <c r="B10" t="inlineStr">
        <is>
          <t>Thulani Ngubane</t>
        </is>
      </c>
      <c r="C10" t="inlineStr">
        <is>
          <t>0827890123</t>
        </is>
      </c>
      <c r="D10" t="inlineStr">
        <is>
          <t>centurion@vodacom.co.za</t>
        </is>
      </c>
      <c r="E10" t="inlineStr">
        <is>
          <t>Gauteng</t>
        </is>
      </c>
      <c r="F10" t="inlineStr">
        <is>
          <t>Centurion</t>
        </is>
      </c>
    </row>
    <row r="11">
      <c r="A11" t="inlineStr">
        <is>
          <t>Vodacom Tyger Valley</t>
        </is>
      </c>
      <c r="B11" t="inlineStr">
        <is>
          <t>Mbali Dube</t>
        </is>
      </c>
      <c r="C11" t="inlineStr">
        <is>
          <t>0823210987</t>
        </is>
      </c>
      <c r="D11" t="inlineStr">
        <is>
          <t>tygervalley@vodacom.co.za</t>
        </is>
      </c>
      <c r="E11" t="inlineStr">
        <is>
          <t>Western Cape</t>
        </is>
      </c>
      <c r="F11" t="inlineStr">
        <is>
          <t>Cape Town</t>
        </is>
      </c>
    </row>
    <row r="12">
      <c r="A12" t="inlineStr">
        <is>
          <t>Vodacom Eastgate</t>
        </is>
      </c>
      <c r="B12" t="inlineStr">
        <is>
          <t>Kagiso Mabaso</t>
        </is>
      </c>
      <c r="C12" t="inlineStr">
        <is>
          <t>0826789012</t>
        </is>
      </c>
      <c r="D12" t="inlineStr">
        <is>
          <t>eastgate@vodacom.co.za</t>
        </is>
      </c>
      <c r="E12" t="inlineStr">
        <is>
          <t>Gauteng</t>
        </is>
      </c>
      <c r="F12" t="inlineStr">
        <is>
          <t>Johannesburg</t>
        </is>
      </c>
    </row>
    <row r="13">
      <c r="A13" t="inlineStr">
        <is>
          <t>Vodacom Cresta</t>
        </is>
      </c>
      <c r="B13" t="inlineStr">
        <is>
          <t>Lindiwe Shabalala</t>
        </is>
      </c>
      <c r="C13" t="inlineStr">
        <is>
          <t>0829012345</t>
        </is>
      </c>
      <c r="D13" t="inlineStr">
        <is>
          <t>cresta@vodacom.co.za</t>
        </is>
      </c>
      <c r="E13" t="inlineStr">
        <is>
          <t>Gauteng</t>
        </is>
      </c>
      <c r="F13" t="inlineStr">
        <is>
          <t>Johannesburg</t>
        </is>
      </c>
    </row>
    <row r="14">
      <c r="A14" t="inlineStr">
        <is>
          <t>Vodacom Ushaka Marine</t>
        </is>
      </c>
      <c r="B14" t="inlineStr">
        <is>
          <t>Nhlanhla Cele</t>
        </is>
      </c>
      <c r="C14" t="inlineStr">
        <is>
          <t>0824321098</t>
        </is>
      </c>
      <c r="D14" t="inlineStr">
        <is>
          <t>ushaka@vodacom.co.za</t>
        </is>
      </c>
      <c r="E14" t="inlineStr">
        <is>
          <t>KwaZulu-Natal</t>
        </is>
      </c>
      <c r="F14" t="inlineStr">
        <is>
          <t>Durban</t>
        </is>
      </c>
    </row>
    <row r="15">
      <c r="A15" t="inlineStr">
        <is>
          <t>Vodacom Brooklyn Mall</t>
        </is>
      </c>
      <c r="B15" t="inlineStr">
        <is>
          <t>Thandiwe Madonsela</t>
        </is>
      </c>
      <c r="C15" t="inlineStr">
        <is>
          <t>0828901234</t>
        </is>
      </c>
      <c r="D15" t="inlineStr">
        <is>
          <t>brooklyn@vodacom.co.za</t>
        </is>
      </c>
      <c r="E15" t="inlineStr">
        <is>
          <t>Gauteng</t>
        </is>
      </c>
      <c r="F15" t="inlineStr">
        <is>
          <t>Pretoria</t>
        </is>
      </c>
    </row>
    <row r="16">
      <c r="A16" t="inlineStr">
        <is>
          <t>Vodacom Woodmead</t>
        </is>
      </c>
      <c r="B16" t="inlineStr">
        <is>
          <t>Sello Maloka</t>
        </is>
      </c>
      <c r="C16" t="inlineStr">
        <is>
          <t>0825432109</t>
        </is>
      </c>
      <c r="D16" t="inlineStr">
        <is>
          <t>woodmead@vodacom.co.za</t>
        </is>
      </c>
      <c r="E16" t="inlineStr">
        <is>
          <t>Gauteng</t>
        </is>
      </c>
      <c r="F16" t="inlineStr">
        <is>
          <t>Johannesburg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Store</t>
        </is>
      </c>
      <c r="B1" s="1" t="inlineStr">
        <is>
          <t>Province</t>
        </is>
      </c>
      <c r="C1" s="1" t="inlineStr">
        <is>
          <t>City</t>
        </is>
      </c>
      <c r="D1" s="1" t="inlineStr">
        <is>
          <t>Opening Date</t>
        </is>
      </c>
      <c r="E1" s="1" t="inlineStr">
        <is>
          <t>Years Open</t>
        </is>
      </c>
    </row>
    <row r="2">
      <c r="A2" t="inlineStr">
        <is>
          <t>Vodacom V&amp;A Waterfront</t>
        </is>
      </c>
      <c r="B2" t="inlineStr">
        <is>
          <t>Western Cape</t>
        </is>
      </c>
      <c r="C2" t="inlineStr">
        <is>
          <t>Cape Town</t>
        </is>
      </c>
      <c r="D2" s="2" t="n">
        <v>41810</v>
      </c>
      <c r="E2">
        <f>DATEDIF(D2,TODAY(),"Y")</f>
        <v/>
      </c>
    </row>
    <row r="3">
      <c r="A3" t="inlineStr">
        <is>
          <t>Vodacom Rosebank Mall</t>
        </is>
      </c>
      <c r="B3" t="inlineStr">
        <is>
          <t>Gauteng</t>
        </is>
      </c>
      <c r="C3" t="inlineStr">
        <is>
          <t>Johannesburg</t>
        </is>
      </c>
      <c r="D3" s="2" t="n">
        <v>41973</v>
      </c>
      <c r="E3">
        <f>DATEDIF(D3,TODAY(),"Y")</f>
        <v/>
      </c>
    </row>
    <row r="4">
      <c r="A4" t="inlineStr">
        <is>
          <t>Vodacom Sandton City</t>
        </is>
      </c>
      <c r="B4" t="inlineStr">
        <is>
          <t>Gauteng</t>
        </is>
      </c>
      <c r="C4" t="inlineStr">
        <is>
          <t>Sandton</t>
        </is>
      </c>
      <c r="D4" s="2" t="n">
        <v>42078</v>
      </c>
      <c r="E4">
        <f>DATEDIF(D4,TODAY(),"Y")</f>
        <v/>
      </c>
    </row>
    <row r="5">
      <c r="A5" t="inlineStr">
        <is>
          <t>Vodacom Menlyn Park</t>
        </is>
      </c>
      <c r="B5" t="inlineStr">
        <is>
          <t>Gauteng</t>
        </is>
      </c>
      <c r="C5" t="inlineStr">
        <is>
          <t>Pretoria</t>
        </is>
      </c>
      <c r="D5" s="2" t="n">
        <v>42238</v>
      </c>
      <c r="E5">
        <f>DATEDIF(D5,TODAY(),"Y")</f>
        <v/>
      </c>
    </row>
    <row r="6">
      <c r="A6" t="inlineStr">
        <is>
          <t>Vodacom Cresta</t>
        </is>
      </c>
      <c r="B6" t="inlineStr">
        <is>
          <t>Gauteng</t>
        </is>
      </c>
      <c r="C6" t="inlineStr">
        <is>
          <t>Johannesburg</t>
        </is>
      </c>
      <c r="D6" s="2" t="n">
        <v>42255</v>
      </c>
      <c r="E6">
        <f>DATEDIF(D6,TODAY(),"Y")</f>
        <v/>
      </c>
    </row>
    <row r="7">
      <c r="A7" t="inlineStr">
        <is>
          <t>Vodacom Tyger Valley</t>
        </is>
      </c>
      <c r="B7" t="inlineStr">
        <is>
          <t>Western Cape</t>
        </is>
      </c>
      <c r="C7" t="inlineStr">
        <is>
          <t>Cape Town</t>
        </is>
      </c>
      <c r="D7" s="2" t="n">
        <v>42348</v>
      </c>
      <c r="E7">
        <f>DATEDIF(D7,TODAY(),"Y")</f>
        <v/>
      </c>
    </row>
    <row r="8">
      <c r="A8" t="inlineStr">
        <is>
          <t>Vodacom Gateway Durban</t>
        </is>
      </c>
      <c r="B8" t="inlineStr">
        <is>
          <t>KwaZulu-Natal</t>
        </is>
      </c>
      <c r="C8" t="inlineStr">
        <is>
          <t>Durban</t>
        </is>
      </c>
      <c r="D8" s="2" t="n">
        <v>42379</v>
      </c>
      <c r="E8">
        <f>DATEDIF(D8,TODAY(),"Y")</f>
        <v/>
      </c>
    </row>
    <row r="9">
      <c r="A9" t="inlineStr">
        <is>
          <t>Vodacom Eastgate</t>
        </is>
      </c>
      <c r="B9" t="inlineStr">
        <is>
          <t>Gauteng</t>
        </is>
      </c>
      <c r="C9" t="inlineStr">
        <is>
          <t>Johannesburg</t>
        </is>
      </c>
      <c r="D9" s="2" t="n">
        <v>42515</v>
      </c>
      <c r="E9">
        <f>DATEDIF(D9,TODAY(),"Y")</f>
        <v/>
      </c>
    </row>
    <row r="10">
      <c r="A10" t="inlineStr">
        <is>
          <t>Vodacom Pavilion</t>
        </is>
      </c>
      <c r="B10" t="inlineStr">
        <is>
          <t>KwaZulu-Natal</t>
        </is>
      </c>
      <c r="C10" t="inlineStr">
        <is>
          <t>Durban</t>
        </is>
      </c>
      <c r="D10" s="2" t="n">
        <v>42618</v>
      </c>
      <c r="E10">
        <f>DATEDIF(D10,TODAY(),"Y")</f>
        <v/>
      </c>
    </row>
    <row r="11">
      <c r="A11" t="inlineStr">
        <is>
          <t>Vodacom Brooklyn Mall</t>
        </is>
      </c>
      <c r="B11" t="inlineStr">
        <is>
          <t>Gauteng</t>
        </is>
      </c>
      <c r="C11" t="inlineStr">
        <is>
          <t>Pretoria</t>
        </is>
      </c>
      <c r="D11" s="2" t="n">
        <v>42655</v>
      </c>
      <c r="E11">
        <f>DATEDIF(D11,TODAY(),"Y")</f>
        <v/>
      </c>
    </row>
    <row r="12">
      <c r="A12" t="inlineStr">
        <is>
          <t>Vodacom Canal Walk</t>
        </is>
      </c>
      <c r="B12" t="inlineStr">
        <is>
          <t>Western Cape</t>
        </is>
      </c>
      <c r="C12" t="inlineStr">
        <is>
          <t>Cape Town</t>
        </is>
      </c>
      <c r="D12" s="2" t="n">
        <v>42780</v>
      </c>
      <c r="E12">
        <f>DATEDIF(D12,TODAY(),"Y")</f>
        <v/>
      </c>
    </row>
    <row r="13">
      <c r="A13" t="inlineStr">
        <is>
          <t>Vodacom Ushaka Marine</t>
        </is>
      </c>
      <c r="B13" t="inlineStr">
        <is>
          <t>KwaZulu-Natal</t>
        </is>
      </c>
      <c r="C13" t="inlineStr">
        <is>
          <t>Durban</t>
        </is>
      </c>
      <c r="D13" s="2" t="n">
        <v>42814</v>
      </c>
      <c r="E13">
        <f>DATEDIF(D13,TODAY(),"Y")</f>
        <v/>
      </c>
    </row>
    <row r="14">
      <c r="A14" t="inlineStr">
        <is>
          <t>Vodacom Centurion Mall</t>
        </is>
      </c>
      <c r="B14" t="inlineStr">
        <is>
          <t>Gauteng</t>
        </is>
      </c>
      <c r="C14" t="inlineStr">
        <is>
          <t>Centurion</t>
        </is>
      </c>
      <c r="D14" s="2" t="n">
        <v>42934</v>
      </c>
      <c r="E14">
        <f>DATEDIF(D14,TODAY(),"Y")</f>
        <v/>
      </c>
    </row>
    <row r="15">
      <c r="A15" t="inlineStr">
        <is>
          <t>Vodacom Woodmead</t>
        </is>
      </c>
      <c r="B15" t="inlineStr">
        <is>
          <t>Gauteng</t>
        </is>
      </c>
      <c r="C15" t="inlineStr">
        <is>
          <t>Johannesburg</t>
        </is>
      </c>
      <c r="D15" s="2" t="n">
        <v>43115</v>
      </c>
      <c r="E15">
        <f>DATEDIF(D15,TODAY(),"Y")</f>
        <v/>
      </c>
    </row>
    <row r="16">
      <c r="A16" t="inlineStr">
        <is>
          <t>Vodacom Mall of Africa</t>
        </is>
      </c>
      <c r="B16" t="inlineStr">
        <is>
          <t>Gauteng</t>
        </is>
      </c>
      <c r="C16" t="inlineStr">
        <is>
          <t>Midrand</t>
        </is>
      </c>
      <c r="D16" s="2" t="n">
        <v>43191</v>
      </c>
      <c r="E16">
        <f>DATEDIF(D16,TODAY(),"Y")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</cols>
  <sheetData>
    <row r="1">
      <c r="A1" s="1" t="inlineStr">
        <is>
          <t>Status</t>
        </is>
      </c>
      <c r="B1" s="1" t="inlineStr">
        <is>
          <t>Store Count</t>
        </is>
      </c>
      <c r="C1" s="1" t="inlineStr">
        <is>
          <t>% of Portfolio</t>
        </is>
      </c>
    </row>
    <row r="2">
      <c r="A2" t="inlineStr">
        <is>
          <t>Active</t>
        </is>
      </c>
      <c r="B2">
        <f>COUNTIF('Store Directory'!K:K,A2)</f>
        <v/>
      </c>
      <c r="C2" s="4">
        <f>B2/SUM(B$2:B$2)</f>
        <v/>
      </c>
    </row>
    <row r="3">
      <c r="A3" s="5" t="inlineStr">
        <is>
          <t>TOTAL</t>
        </is>
      </c>
      <c r="B3" s="5">
        <f>SUM(B2:B2)</f>
        <v/>
      </c>
      <c r="C3" s="5" t="inlineStr"/>
    </row>
    <row r="5">
      <c r="A5" t="inlineStr">
        <is>
          <t>Practice Ideas:</t>
        </is>
      </c>
    </row>
    <row r="6">
      <c r="A6" t="inlineStr">
        <is>
          <t>- Build slicers using Store Directory as a Table.</t>
        </is>
      </c>
    </row>
    <row r="7">
      <c r="A7" t="inlineStr">
        <is>
          <t>- Create pivot charts per province.</t>
        </is>
      </c>
    </row>
    <row r="8">
      <c r="A8" t="inlineStr">
        <is>
          <t>- Apply conditional formatting to highlight stores older than 8 years.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2025-11-18T13:22:30Z</dcterms:created>
  <dcterms:modified xsi:type="dcterms:W3CDTF">2025-11-18T13:22:30Z</dcterms:modified>
</cp:coreProperties>
</file>