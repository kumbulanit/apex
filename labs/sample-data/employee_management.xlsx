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irectory" sheetId="1" state="visible" r:id="rId1"/>
    <sheet name="Department Summary" sheetId="2" state="visible" r:id="rId2"/>
    <sheet name="Salary Ba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$#,##0.00"/>
    <numFmt numFmtId="167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Department</t>
        </is>
      </c>
      <c r="F1" s="1" t="inlineStr">
        <is>
          <t>Position</t>
        </is>
      </c>
      <c r="G1" s="1" t="inlineStr">
        <is>
          <t>Hire Date</t>
        </is>
      </c>
      <c r="H1" s="1" t="inlineStr">
        <is>
          <t>Salary</t>
        </is>
      </c>
      <c r="I1" s="1" t="inlineStr">
        <is>
          <t>Status</t>
        </is>
      </c>
    </row>
    <row r="2">
      <c r="A2" t="inlineStr">
        <is>
          <t>EMP1001</t>
        </is>
      </c>
      <c r="B2" t="inlineStr">
        <is>
          <t>Elizabeth</t>
        </is>
      </c>
      <c r="C2" t="inlineStr">
        <is>
          <t>Rodriguez</t>
        </is>
      </c>
      <c r="D2" t="inlineStr">
        <is>
          <t>elizabeth.rodriguez@company.com</t>
        </is>
      </c>
      <c r="E2" t="inlineStr">
        <is>
          <t>HR</t>
        </is>
      </c>
      <c r="F2" t="inlineStr">
        <is>
          <t>HR Manager</t>
        </is>
      </c>
      <c r="G2" s="2" t="n">
        <v>44469</v>
      </c>
      <c r="H2" s="3" t="n">
        <v>49640.37</v>
      </c>
      <c r="I2" t="inlineStr">
        <is>
          <t>On Leave</t>
        </is>
      </c>
    </row>
    <row r="3">
      <c r="A3" t="inlineStr">
        <is>
          <t>EMP1002</t>
        </is>
      </c>
      <c r="B3" t="inlineStr">
        <is>
          <t>Lisa</t>
        </is>
      </c>
      <c r="C3" t="inlineStr">
        <is>
          <t>Garcia</t>
        </is>
      </c>
      <c r="D3" t="inlineStr">
        <is>
          <t>lisa.garcia@company.com</t>
        </is>
      </c>
      <c r="E3" t="inlineStr">
        <is>
          <t>HR</t>
        </is>
      </c>
      <c r="F3" t="inlineStr">
        <is>
          <t>HR Coordinator</t>
        </is>
      </c>
      <c r="G3" s="2" t="n">
        <v>44614</v>
      </c>
      <c r="H3" s="3" t="n">
        <v>93974.50999999999</v>
      </c>
      <c r="I3" t="inlineStr">
        <is>
          <t>On Leave</t>
        </is>
      </c>
    </row>
    <row r="4">
      <c r="A4" t="inlineStr">
        <is>
          <t>EMP1003</t>
        </is>
      </c>
      <c r="B4" t="inlineStr">
        <is>
          <t>James</t>
        </is>
      </c>
      <c r="C4" t="inlineStr">
        <is>
          <t>Davis</t>
        </is>
      </c>
      <c r="D4" t="inlineStr">
        <is>
          <t>james.davis@company.com</t>
        </is>
      </c>
      <c r="E4" t="inlineStr">
        <is>
          <t>Finance</t>
        </is>
      </c>
      <c r="F4" t="inlineStr">
        <is>
          <t>Accountant</t>
        </is>
      </c>
      <c r="G4" s="2" t="n">
        <v>44053</v>
      </c>
      <c r="H4" s="3" t="n">
        <v>58394.21</v>
      </c>
      <c r="I4" t="inlineStr">
        <is>
          <t>Active</t>
        </is>
      </c>
    </row>
    <row r="5">
      <c r="A5" t="inlineStr">
        <is>
          <t>EMP1004</t>
        </is>
      </c>
      <c r="B5" t="inlineStr">
        <is>
          <t>William</t>
        </is>
      </c>
      <c r="C5" t="inlineStr">
        <is>
          <t>Rodriguez</t>
        </is>
      </c>
      <c r="D5" t="inlineStr">
        <is>
          <t>william.rodriguez@company.com</t>
        </is>
      </c>
      <c r="E5" t="inlineStr">
        <is>
          <t>Finance</t>
        </is>
      </c>
      <c r="F5" t="inlineStr">
        <is>
          <t>Controller</t>
        </is>
      </c>
      <c r="G5" s="2" t="n">
        <v>44858</v>
      </c>
      <c r="H5" s="3" t="n">
        <v>57225.25</v>
      </c>
      <c r="I5" t="inlineStr">
        <is>
          <t>Active</t>
        </is>
      </c>
    </row>
    <row r="6">
      <c r="A6" t="inlineStr">
        <is>
          <t>EMP1005</t>
        </is>
      </c>
      <c r="B6" t="inlineStr">
        <is>
          <t>James</t>
        </is>
      </c>
      <c r="C6" t="inlineStr">
        <is>
          <t>Johnson</t>
        </is>
      </c>
      <c r="D6" t="inlineStr">
        <is>
          <t>james.johnson@company.com</t>
        </is>
      </c>
      <c r="E6" t="inlineStr">
        <is>
          <t>Marketing</t>
        </is>
      </c>
      <c r="F6" t="inlineStr">
        <is>
          <t>Content Writer</t>
        </is>
      </c>
      <c r="G6" s="2" t="n">
        <v>43899</v>
      </c>
      <c r="H6" s="3" t="n">
        <v>108330.8</v>
      </c>
      <c r="I6" t="inlineStr">
        <is>
          <t>Active</t>
        </is>
      </c>
    </row>
    <row r="7">
      <c r="A7" t="inlineStr">
        <is>
          <t>EMP1006</t>
        </is>
      </c>
      <c r="B7" t="inlineStr">
        <is>
          <t>David</t>
        </is>
      </c>
      <c r="C7" t="inlineStr">
        <is>
          <t>Garcia</t>
        </is>
      </c>
      <c r="D7" t="inlineStr">
        <is>
          <t>david.garcia@company.com</t>
        </is>
      </c>
      <c r="E7" t="inlineStr">
        <is>
          <t>Operations</t>
        </is>
      </c>
      <c r="F7" t="inlineStr">
        <is>
          <t>Logistics Coordinator</t>
        </is>
      </c>
      <c r="G7" s="2" t="n">
        <v>45090</v>
      </c>
      <c r="H7" s="3" t="n">
        <v>86351.07000000001</v>
      </c>
      <c r="I7" t="inlineStr">
        <is>
          <t>On Leave</t>
        </is>
      </c>
    </row>
    <row r="8">
      <c r="A8" t="inlineStr">
        <is>
          <t>EMP1007</t>
        </is>
      </c>
      <c r="B8" t="inlineStr">
        <is>
          <t>James</t>
        </is>
      </c>
      <c r="C8" t="inlineStr">
        <is>
          <t>Taylor</t>
        </is>
      </c>
      <c r="D8" t="inlineStr">
        <is>
          <t>james.taylor@company.com</t>
        </is>
      </c>
      <c r="E8" t="inlineStr">
        <is>
          <t>Finance</t>
        </is>
      </c>
      <c r="F8" t="inlineStr">
        <is>
          <t>Accountant</t>
        </is>
      </c>
      <c r="G8" s="2" t="n">
        <v>44731</v>
      </c>
      <c r="H8" s="3" t="n">
        <v>60029.8</v>
      </c>
      <c r="I8" t="inlineStr">
        <is>
          <t>On Leave</t>
        </is>
      </c>
    </row>
    <row r="9">
      <c r="A9" t="inlineStr">
        <is>
          <t>EMP1008</t>
        </is>
      </c>
      <c r="B9" t="inlineStr">
        <is>
          <t>Linda</t>
        </is>
      </c>
      <c r="C9" t="inlineStr">
        <is>
          <t>Lopez</t>
        </is>
      </c>
      <c r="D9" t="inlineStr">
        <is>
          <t>linda.lopez@company.com</t>
        </is>
      </c>
      <c r="E9" t="inlineStr">
        <is>
          <t>Finance</t>
        </is>
      </c>
      <c r="F9" t="inlineStr">
        <is>
          <t>Financial Analyst</t>
        </is>
      </c>
      <c r="G9" s="2" t="n">
        <v>44882</v>
      </c>
      <c r="H9" s="3" t="n">
        <v>116631.09</v>
      </c>
      <c r="I9" t="inlineStr">
        <is>
          <t>Active</t>
        </is>
      </c>
    </row>
    <row r="10">
      <c r="A10" t="inlineStr">
        <is>
          <t>EMP1009</t>
        </is>
      </c>
      <c r="B10" t="inlineStr">
        <is>
          <t>Joseph</t>
        </is>
      </c>
      <c r="C10" t="inlineStr">
        <is>
          <t>Davis</t>
        </is>
      </c>
      <c r="D10" t="inlineStr">
        <is>
          <t>joseph.davis@company.com</t>
        </is>
      </c>
      <c r="E10" t="inlineStr">
        <is>
          <t>Operations</t>
        </is>
      </c>
      <c r="F10" t="inlineStr">
        <is>
          <t>Warehouse Manager</t>
        </is>
      </c>
      <c r="G10" s="2" t="n">
        <v>43913</v>
      </c>
      <c r="H10" s="3" t="n">
        <v>90685.00999999999</v>
      </c>
      <c r="I10" t="inlineStr">
        <is>
          <t>On Leave</t>
        </is>
      </c>
    </row>
    <row r="11">
      <c r="A11" t="inlineStr">
        <is>
          <t>EMP1010</t>
        </is>
      </c>
      <c r="B11" t="inlineStr">
        <is>
          <t>Elizabeth</t>
        </is>
      </c>
      <c r="C11" t="inlineStr">
        <is>
          <t>Williams</t>
        </is>
      </c>
      <c r="D11" t="inlineStr">
        <is>
          <t>elizabeth.williams@company.com</t>
        </is>
      </c>
      <c r="E11" t="inlineStr">
        <is>
          <t>HR</t>
        </is>
      </c>
      <c r="F11" t="inlineStr">
        <is>
          <t>HR Manager</t>
        </is>
      </c>
      <c r="G11" s="2" t="n">
        <v>44030</v>
      </c>
      <c r="H11" s="3" t="n">
        <v>52140.7</v>
      </c>
      <c r="I11" t="inlineStr">
        <is>
          <t>On Leave</t>
        </is>
      </c>
    </row>
    <row r="12">
      <c r="A12" t="inlineStr">
        <is>
          <t>EMP1011</t>
        </is>
      </c>
      <c r="B12" t="inlineStr">
        <is>
          <t>Jane</t>
        </is>
      </c>
      <c r="C12" t="inlineStr">
        <is>
          <t>Wilson</t>
        </is>
      </c>
      <c r="D12" t="inlineStr">
        <is>
          <t>jane.wilson@company.com</t>
        </is>
      </c>
      <c r="E12" t="inlineStr">
        <is>
          <t>Operations</t>
        </is>
      </c>
      <c r="F12" t="inlineStr">
        <is>
          <t>Logistics Coordinator</t>
        </is>
      </c>
      <c r="G12" s="2" t="n">
        <v>44413</v>
      </c>
      <c r="H12" s="3" t="n">
        <v>119452.22</v>
      </c>
      <c r="I12" t="inlineStr">
        <is>
          <t>Active</t>
        </is>
      </c>
    </row>
    <row r="13">
      <c r="A13" t="inlineStr">
        <is>
          <t>EMP1012</t>
        </is>
      </c>
      <c r="B13" t="inlineStr">
        <is>
          <t>David</t>
        </is>
      </c>
      <c r="C13" t="inlineStr">
        <is>
          <t>Gonzalez</t>
        </is>
      </c>
      <c r="D13" t="inlineStr">
        <is>
          <t>david.gonzalez@company.com</t>
        </is>
      </c>
      <c r="E13" t="inlineStr">
        <is>
          <t>Finance</t>
        </is>
      </c>
      <c r="F13" t="inlineStr">
        <is>
          <t>Controller</t>
        </is>
      </c>
      <c r="G13" s="2" t="n">
        <v>44141</v>
      </c>
      <c r="H13" s="3" t="n">
        <v>100691.29</v>
      </c>
      <c r="I13" t="inlineStr">
        <is>
          <t>Active</t>
        </is>
      </c>
    </row>
    <row r="14">
      <c r="A14" t="inlineStr">
        <is>
          <t>EMP1013</t>
        </is>
      </c>
      <c r="B14" t="inlineStr">
        <is>
          <t>Mary</t>
        </is>
      </c>
      <c r="C14" t="inlineStr">
        <is>
          <t>Taylor</t>
        </is>
      </c>
      <c r="D14" t="inlineStr">
        <is>
          <t>mary.taylor@company.com</t>
        </is>
      </c>
      <c r="E14" t="inlineStr">
        <is>
          <t>IT</t>
        </is>
      </c>
      <c r="F14" t="inlineStr">
        <is>
          <t>QA Analyst</t>
        </is>
      </c>
      <c r="G14" s="2" t="n">
        <v>44556</v>
      </c>
      <c r="H14" s="3" t="n">
        <v>92935.17999999999</v>
      </c>
      <c r="I14" t="inlineStr">
        <is>
          <t>Active</t>
        </is>
      </c>
    </row>
    <row r="15">
      <c r="A15" t="inlineStr">
        <is>
          <t>EMP1014</t>
        </is>
      </c>
      <c r="B15" t="inlineStr">
        <is>
          <t>Linda</t>
        </is>
      </c>
      <c r="C15" t="inlineStr">
        <is>
          <t>Rodriguez</t>
        </is>
      </c>
      <c r="D15" t="inlineStr">
        <is>
          <t>linda.rodriguez@company.com</t>
        </is>
      </c>
      <c r="E15" t="inlineStr">
        <is>
          <t>Finance</t>
        </is>
      </c>
      <c r="F15" t="inlineStr">
        <is>
          <t>Financial Analyst</t>
        </is>
      </c>
      <c r="G15" s="2" t="n">
        <v>44733</v>
      </c>
      <c r="H15" s="3" t="n">
        <v>106921.2</v>
      </c>
      <c r="I15" t="inlineStr">
        <is>
          <t>Active</t>
        </is>
      </c>
    </row>
    <row r="16">
      <c r="A16" t="inlineStr">
        <is>
          <t>EMP1015</t>
        </is>
      </c>
      <c r="B16" t="inlineStr">
        <is>
          <t>Thomas</t>
        </is>
      </c>
      <c r="C16" t="inlineStr">
        <is>
          <t>Jones</t>
        </is>
      </c>
      <c r="D16" t="inlineStr">
        <is>
          <t>thomas.jones@company.com</t>
        </is>
      </c>
      <c r="E16" t="inlineStr">
        <is>
          <t>HR</t>
        </is>
      </c>
      <c r="F16" t="inlineStr">
        <is>
          <t>Recruiter</t>
        </is>
      </c>
      <c r="G16" s="2" t="n">
        <v>44696</v>
      </c>
      <c r="H16" s="3" t="n">
        <v>84166.17</v>
      </c>
      <c r="I16" t="inlineStr">
        <is>
          <t>Active</t>
        </is>
      </c>
    </row>
    <row r="17">
      <c r="A17" t="inlineStr">
        <is>
          <t>EMP1016</t>
        </is>
      </c>
      <c r="B17" t="inlineStr">
        <is>
          <t>Linda</t>
        </is>
      </c>
      <c r="C17" t="inlineStr">
        <is>
          <t>Anderson</t>
        </is>
      </c>
      <c r="D17" t="inlineStr">
        <is>
          <t>linda.anderson@company.com</t>
        </is>
      </c>
      <c r="E17" t="inlineStr">
        <is>
          <t>Operations</t>
        </is>
      </c>
      <c r="F17" t="inlineStr">
        <is>
          <t>Warehouse Manager</t>
        </is>
      </c>
      <c r="G17" s="2" t="n">
        <v>44985</v>
      </c>
      <c r="H17" s="3" t="n">
        <v>88812.41</v>
      </c>
      <c r="I17" t="inlineStr">
        <is>
          <t>Active</t>
        </is>
      </c>
    </row>
    <row r="18">
      <c r="A18" t="inlineStr">
        <is>
          <t>EMP1017</t>
        </is>
      </c>
      <c r="B18" t="inlineStr">
        <is>
          <t>James</t>
        </is>
      </c>
      <c r="C18" t="inlineStr">
        <is>
          <t>Williams</t>
        </is>
      </c>
      <c r="D18" t="inlineStr">
        <is>
          <t>james.williams@company.com</t>
        </is>
      </c>
      <c r="E18" t="inlineStr">
        <is>
          <t>Marketing</t>
        </is>
      </c>
      <c r="F18" t="inlineStr">
        <is>
          <t>Marketing Specialist</t>
        </is>
      </c>
      <c r="G18" s="2" t="n">
        <v>44643</v>
      </c>
      <c r="H18" s="3" t="n">
        <v>69543.84</v>
      </c>
      <c r="I18" t="inlineStr">
        <is>
          <t>Active</t>
        </is>
      </c>
    </row>
    <row r="19">
      <c r="A19" t="inlineStr">
        <is>
          <t>EMP1018</t>
        </is>
      </c>
      <c r="B19" t="inlineStr">
        <is>
          <t>Lisa</t>
        </is>
      </c>
      <c r="C19" t="inlineStr">
        <is>
          <t>Hernandez</t>
        </is>
      </c>
      <c r="D19" t="inlineStr">
        <is>
          <t>lisa.hernandez@company.com</t>
        </is>
      </c>
      <c r="E19" t="inlineStr">
        <is>
          <t>HR</t>
        </is>
      </c>
      <c r="F19" t="inlineStr">
        <is>
          <t>HR Coordinator</t>
        </is>
      </c>
      <c r="G19" s="2" t="n">
        <v>44279</v>
      </c>
      <c r="H19" s="3" t="n">
        <v>119528.9</v>
      </c>
      <c r="I19" t="inlineStr">
        <is>
          <t>Active</t>
        </is>
      </c>
    </row>
    <row r="20">
      <c r="A20" t="inlineStr">
        <is>
          <t>EMP1019</t>
        </is>
      </c>
      <c r="B20" t="inlineStr">
        <is>
          <t>Richard</t>
        </is>
      </c>
      <c r="C20" t="inlineStr">
        <is>
          <t>Davis</t>
        </is>
      </c>
      <c r="D20" t="inlineStr">
        <is>
          <t>richard.davis@company.com</t>
        </is>
      </c>
      <c r="E20" t="inlineStr">
        <is>
          <t>IT</t>
        </is>
      </c>
      <c r="F20" t="inlineStr">
        <is>
          <t>DevOps Engineer</t>
        </is>
      </c>
      <c r="G20" s="2" t="n">
        <v>44399</v>
      </c>
      <c r="H20" s="3" t="n">
        <v>85290.75999999999</v>
      </c>
      <c r="I20" t="inlineStr">
        <is>
          <t>Active</t>
        </is>
      </c>
    </row>
    <row r="21">
      <c r="A21" t="inlineStr">
        <is>
          <t>EMP1020</t>
        </is>
      </c>
      <c r="B21" t="inlineStr">
        <is>
          <t>Jane</t>
        </is>
      </c>
      <c r="C21" t="inlineStr">
        <is>
          <t>Jones</t>
        </is>
      </c>
      <c r="D21" t="inlineStr">
        <is>
          <t>jane.jones@company.com</t>
        </is>
      </c>
      <c r="E21" t="inlineStr">
        <is>
          <t>Sales</t>
        </is>
      </c>
      <c r="F21" t="inlineStr">
        <is>
          <t>Account Manager</t>
        </is>
      </c>
      <c r="G21" s="2" t="n">
        <v>44178</v>
      </c>
      <c r="H21" s="3" t="n">
        <v>55349.25</v>
      </c>
      <c r="I21" t="inlineStr">
        <is>
          <t>Active</t>
        </is>
      </c>
    </row>
    <row r="22">
      <c r="A22" t="inlineStr">
        <is>
          <t>EMP1021</t>
        </is>
      </c>
      <c r="B22" t="inlineStr">
        <is>
          <t>Joseph</t>
        </is>
      </c>
      <c r="C22" t="inlineStr">
        <is>
          <t>Jones</t>
        </is>
      </c>
      <c r="D22" t="inlineStr">
        <is>
          <t>joseph.jones@company.com</t>
        </is>
      </c>
      <c r="E22" t="inlineStr">
        <is>
          <t>Finance</t>
        </is>
      </c>
      <c r="F22" t="inlineStr">
        <is>
          <t>Controller</t>
        </is>
      </c>
      <c r="G22" s="2" t="n">
        <v>44268</v>
      </c>
      <c r="H22" s="3" t="n">
        <v>107003.92</v>
      </c>
      <c r="I22" t="inlineStr">
        <is>
          <t>Active</t>
        </is>
      </c>
    </row>
    <row r="23">
      <c r="A23" t="inlineStr">
        <is>
          <t>EMP1022</t>
        </is>
      </c>
      <c r="B23" t="inlineStr">
        <is>
          <t>Jennifer</t>
        </is>
      </c>
      <c r="C23" t="inlineStr">
        <is>
          <t>Rodriguez</t>
        </is>
      </c>
      <c r="D23" t="inlineStr">
        <is>
          <t>jennifer.rodriguez@company.com</t>
        </is>
      </c>
      <c r="E23" t="inlineStr">
        <is>
          <t>HR</t>
        </is>
      </c>
      <c r="F23" t="inlineStr">
        <is>
          <t>Recruiter</t>
        </is>
      </c>
      <c r="G23" s="2" t="n">
        <v>45060</v>
      </c>
      <c r="H23" s="3" t="n">
        <v>119002.82</v>
      </c>
      <c r="I23" t="inlineStr">
        <is>
          <t>Active</t>
        </is>
      </c>
    </row>
    <row r="24">
      <c r="A24" t="inlineStr">
        <is>
          <t>EMP1023</t>
        </is>
      </c>
      <c r="B24" t="inlineStr">
        <is>
          <t>Patricia</t>
        </is>
      </c>
      <c r="C24" t="inlineStr">
        <is>
          <t>Gonzalez</t>
        </is>
      </c>
      <c r="D24" t="inlineStr">
        <is>
          <t>patricia.gonzalez@company.com</t>
        </is>
      </c>
      <c r="E24" t="inlineStr">
        <is>
          <t>Operations</t>
        </is>
      </c>
      <c r="F24" t="inlineStr">
        <is>
          <t>Operations Manager</t>
        </is>
      </c>
      <c r="G24" s="2" t="n">
        <v>45253</v>
      </c>
      <c r="H24" s="3" t="n">
        <v>117525.53</v>
      </c>
      <c r="I24" t="inlineStr">
        <is>
          <t>Active</t>
        </is>
      </c>
    </row>
    <row r="25">
      <c r="A25" t="inlineStr">
        <is>
          <t>EMP1024</t>
        </is>
      </c>
      <c r="B25" t="inlineStr">
        <is>
          <t>Joseph</t>
        </is>
      </c>
      <c r="C25" t="inlineStr">
        <is>
          <t>Wilson</t>
        </is>
      </c>
      <c r="D25" t="inlineStr">
        <is>
          <t>joseph.wilson@company.com</t>
        </is>
      </c>
      <c r="E25" t="inlineStr">
        <is>
          <t>IT</t>
        </is>
      </c>
      <c r="F25" t="inlineStr">
        <is>
          <t>System Admin</t>
        </is>
      </c>
      <c r="G25" s="2" t="n">
        <v>45266</v>
      </c>
      <c r="H25" s="3" t="n">
        <v>92352.05</v>
      </c>
      <c r="I25" t="inlineStr">
        <is>
          <t>Active</t>
        </is>
      </c>
    </row>
    <row r="26">
      <c r="A26" t="inlineStr">
        <is>
          <t>EMP1025</t>
        </is>
      </c>
      <c r="B26" t="inlineStr">
        <is>
          <t>Lisa</t>
        </is>
      </c>
      <c r="C26" t="inlineStr">
        <is>
          <t>Thomas</t>
        </is>
      </c>
      <c r="D26" t="inlineStr">
        <is>
          <t>lisa.thomas@company.com</t>
        </is>
      </c>
      <c r="E26" t="inlineStr">
        <is>
          <t>Marketing</t>
        </is>
      </c>
      <c r="F26" t="inlineStr">
        <is>
          <t>Content Writer</t>
        </is>
      </c>
      <c r="G26" s="2" t="n">
        <v>44291</v>
      </c>
      <c r="H26" s="3" t="n">
        <v>51464.57</v>
      </c>
      <c r="I26" t="inlineStr">
        <is>
          <t>Active</t>
        </is>
      </c>
    </row>
    <row r="27">
      <c r="A27" t="inlineStr">
        <is>
          <t>EMP1026</t>
        </is>
      </c>
      <c r="B27" t="inlineStr">
        <is>
          <t>Mary</t>
        </is>
      </c>
      <c r="C27" t="inlineStr">
        <is>
          <t>Garcia</t>
        </is>
      </c>
      <c r="D27" t="inlineStr">
        <is>
          <t>mary.garcia@company.com</t>
        </is>
      </c>
      <c r="E27" t="inlineStr">
        <is>
          <t>Marketing</t>
        </is>
      </c>
      <c r="F27" t="inlineStr">
        <is>
          <t>Marketing Specialist</t>
        </is>
      </c>
      <c r="G27" s="2" t="n">
        <v>45543</v>
      </c>
      <c r="H27" s="3" t="n">
        <v>113579.09</v>
      </c>
      <c r="I27" t="inlineStr">
        <is>
          <t>Active</t>
        </is>
      </c>
    </row>
    <row r="28">
      <c r="A28" t="inlineStr">
        <is>
          <t>EMP1027</t>
        </is>
      </c>
      <c r="B28" t="inlineStr">
        <is>
          <t>James</t>
        </is>
      </c>
      <c r="C28" t="inlineStr">
        <is>
          <t>Lopez</t>
        </is>
      </c>
      <c r="D28" t="inlineStr">
        <is>
          <t>james.lopez@company.com</t>
        </is>
      </c>
      <c r="E28" t="inlineStr">
        <is>
          <t>Marketing</t>
        </is>
      </c>
      <c r="F28" t="inlineStr">
        <is>
          <t>SEO Specialist</t>
        </is>
      </c>
      <c r="G28" s="2" t="n">
        <v>44822</v>
      </c>
      <c r="H28" s="3" t="n">
        <v>53616.3</v>
      </c>
      <c r="I28" t="inlineStr">
        <is>
          <t>Active</t>
        </is>
      </c>
    </row>
    <row r="29">
      <c r="A29" t="inlineStr">
        <is>
          <t>EMP1028</t>
        </is>
      </c>
      <c r="B29" t="inlineStr">
        <is>
          <t>John</t>
        </is>
      </c>
      <c r="C29" t="inlineStr">
        <is>
          <t>Jones</t>
        </is>
      </c>
      <c r="D29" t="inlineStr">
        <is>
          <t>john.jones@company.com</t>
        </is>
      </c>
      <c r="E29" t="inlineStr">
        <is>
          <t>IT</t>
        </is>
      </c>
      <c r="F29" t="inlineStr">
        <is>
          <t>QA Analyst</t>
        </is>
      </c>
      <c r="G29" s="2" t="n">
        <v>44877</v>
      </c>
      <c r="H29" s="3" t="n">
        <v>64532.13</v>
      </c>
      <c r="I29" t="inlineStr">
        <is>
          <t>Active</t>
        </is>
      </c>
    </row>
    <row r="30">
      <c r="A30" t="inlineStr">
        <is>
          <t>EMP1029</t>
        </is>
      </c>
      <c r="B30" t="inlineStr">
        <is>
          <t>David</t>
        </is>
      </c>
      <c r="C30" t="inlineStr">
        <is>
          <t>Rodriguez</t>
        </is>
      </c>
      <c r="D30" t="inlineStr">
        <is>
          <t>david.rodriguez@company.com</t>
        </is>
      </c>
      <c r="E30" t="inlineStr">
        <is>
          <t>Finance</t>
        </is>
      </c>
      <c r="F30" t="inlineStr">
        <is>
          <t>Controller</t>
        </is>
      </c>
      <c r="G30" s="2" t="n">
        <v>44295</v>
      </c>
      <c r="H30" s="3" t="n">
        <v>79348.41</v>
      </c>
      <c r="I30" t="inlineStr">
        <is>
          <t>Active</t>
        </is>
      </c>
    </row>
    <row r="31">
      <c r="A31" t="inlineStr">
        <is>
          <t>EMP1030</t>
        </is>
      </c>
      <c r="B31" t="inlineStr">
        <is>
          <t>Lisa</t>
        </is>
      </c>
      <c r="C31" t="inlineStr">
        <is>
          <t>Davis</t>
        </is>
      </c>
      <c r="D31" t="inlineStr">
        <is>
          <t>lisa.davis@company.com</t>
        </is>
      </c>
      <c r="E31" t="inlineStr">
        <is>
          <t>IT</t>
        </is>
      </c>
      <c r="F31" t="inlineStr">
        <is>
          <t>System Admin</t>
        </is>
      </c>
      <c r="G31" s="2" t="n">
        <v>44764</v>
      </c>
      <c r="H31" s="3" t="n">
        <v>82377.95</v>
      </c>
      <c r="I31" t="inlineStr">
        <is>
          <t>Active</t>
        </is>
      </c>
    </row>
    <row r="32">
      <c r="A32" t="inlineStr">
        <is>
          <t>EMP1031</t>
        </is>
      </c>
      <c r="B32" t="inlineStr">
        <is>
          <t>Elizabeth</t>
        </is>
      </c>
      <c r="C32" t="inlineStr">
        <is>
          <t>Martinez</t>
        </is>
      </c>
      <c r="D32" t="inlineStr">
        <is>
          <t>elizabeth.martinez@company.com</t>
        </is>
      </c>
      <c r="E32" t="inlineStr">
        <is>
          <t>Sales</t>
        </is>
      </c>
      <c r="F32" t="inlineStr">
        <is>
          <t>Sales Rep</t>
        </is>
      </c>
      <c r="G32" s="2" t="n">
        <v>45204</v>
      </c>
      <c r="H32" s="3" t="n">
        <v>77346.02</v>
      </c>
      <c r="I32" t="inlineStr">
        <is>
          <t>Active</t>
        </is>
      </c>
    </row>
    <row r="33">
      <c r="A33" t="inlineStr">
        <is>
          <t>EMP1032</t>
        </is>
      </c>
      <c r="B33" t="inlineStr">
        <is>
          <t>William</t>
        </is>
      </c>
      <c r="C33" t="inlineStr">
        <is>
          <t>Williams</t>
        </is>
      </c>
      <c r="D33" t="inlineStr">
        <is>
          <t>william.williams@company.com</t>
        </is>
      </c>
      <c r="E33" t="inlineStr">
        <is>
          <t>Marketing</t>
        </is>
      </c>
      <c r="F33" t="inlineStr">
        <is>
          <t>SEO Specialist</t>
        </is>
      </c>
      <c r="G33" s="2" t="n">
        <v>44314</v>
      </c>
      <c r="H33" s="3" t="n">
        <v>106570.19</v>
      </c>
      <c r="I33" t="inlineStr">
        <is>
          <t>Active</t>
        </is>
      </c>
    </row>
    <row r="34">
      <c r="A34" t="inlineStr">
        <is>
          <t>EMP1033</t>
        </is>
      </c>
      <c r="B34" t="inlineStr">
        <is>
          <t>Robert</t>
        </is>
      </c>
      <c r="C34" t="inlineStr">
        <is>
          <t>Gonzalez</t>
        </is>
      </c>
      <c r="D34" t="inlineStr">
        <is>
          <t>robert.gonzalez@company.com</t>
        </is>
      </c>
      <c r="E34" t="inlineStr">
        <is>
          <t>HR</t>
        </is>
      </c>
      <c r="F34" t="inlineStr">
        <is>
          <t>HR Coordinator</t>
        </is>
      </c>
      <c r="G34" s="2" t="n">
        <v>45394</v>
      </c>
      <c r="H34" s="3" t="n">
        <v>87066.7</v>
      </c>
      <c r="I34" t="inlineStr">
        <is>
          <t>Active</t>
        </is>
      </c>
    </row>
    <row r="35">
      <c r="A35" t="inlineStr">
        <is>
          <t>EMP1034</t>
        </is>
      </c>
      <c r="B35" t="inlineStr">
        <is>
          <t>Michael</t>
        </is>
      </c>
      <c r="C35" t="inlineStr">
        <is>
          <t>Hernandez</t>
        </is>
      </c>
      <c r="D35" t="inlineStr">
        <is>
          <t>michael.hernandez@company.com</t>
        </is>
      </c>
      <c r="E35" t="inlineStr">
        <is>
          <t>Operations</t>
        </is>
      </c>
      <c r="F35" t="inlineStr">
        <is>
          <t>Logistics Coordinator</t>
        </is>
      </c>
      <c r="G35" s="2" t="n">
        <v>44749</v>
      </c>
      <c r="H35" s="3" t="n">
        <v>117242.25</v>
      </c>
      <c r="I35" t="inlineStr">
        <is>
          <t>On Leave</t>
        </is>
      </c>
    </row>
    <row r="36">
      <c r="A36" t="inlineStr">
        <is>
          <t>EMP1035</t>
        </is>
      </c>
      <c r="B36" t="inlineStr">
        <is>
          <t>David</t>
        </is>
      </c>
      <c r="C36" t="inlineStr">
        <is>
          <t>Taylor</t>
        </is>
      </c>
      <c r="D36" t="inlineStr">
        <is>
          <t>david.taylor@company.com</t>
        </is>
      </c>
      <c r="E36" t="inlineStr">
        <is>
          <t>Sales</t>
        </is>
      </c>
      <c r="F36" t="inlineStr">
        <is>
          <t>Sales Rep</t>
        </is>
      </c>
      <c r="G36" s="2" t="n">
        <v>45433</v>
      </c>
      <c r="H36" s="3" t="n">
        <v>119071.43</v>
      </c>
      <c r="I36" t="inlineStr">
        <is>
          <t>Active</t>
        </is>
      </c>
    </row>
    <row r="37">
      <c r="A37" t="inlineStr">
        <is>
          <t>EMP1036</t>
        </is>
      </c>
      <c r="B37" t="inlineStr">
        <is>
          <t>John</t>
        </is>
      </c>
      <c r="C37" t="inlineStr">
        <is>
          <t>Gonzalez</t>
        </is>
      </c>
      <c r="D37" t="inlineStr">
        <is>
          <t>john.gonzalez@company.com</t>
        </is>
      </c>
      <c r="E37" t="inlineStr">
        <is>
          <t>Finance</t>
        </is>
      </c>
      <c r="F37" t="inlineStr">
        <is>
          <t>Financial Analyst</t>
        </is>
      </c>
      <c r="G37" s="2" t="n">
        <v>45263</v>
      </c>
      <c r="H37" s="3" t="n">
        <v>115835.54</v>
      </c>
      <c r="I37" t="inlineStr">
        <is>
          <t>Active</t>
        </is>
      </c>
    </row>
    <row r="38">
      <c r="A38" t="inlineStr">
        <is>
          <t>EMP1037</t>
        </is>
      </c>
      <c r="B38" t="inlineStr">
        <is>
          <t>Jennifer</t>
        </is>
      </c>
      <c r="C38" t="inlineStr">
        <is>
          <t>Anderson</t>
        </is>
      </c>
      <c r="D38" t="inlineStr">
        <is>
          <t>jennifer.anderson@company.com</t>
        </is>
      </c>
      <c r="E38" t="inlineStr">
        <is>
          <t>Marketing</t>
        </is>
      </c>
      <c r="F38" t="inlineStr">
        <is>
          <t>SEO Specialist</t>
        </is>
      </c>
      <c r="G38" s="2" t="n">
        <v>45293</v>
      </c>
      <c r="H38" s="3" t="n">
        <v>80710.31</v>
      </c>
      <c r="I38" t="inlineStr">
        <is>
          <t>Active</t>
        </is>
      </c>
    </row>
    <row r="39">
      <c r="A39" t="inlineStr">
        <is>
          <t>EMP1038</t>
        </is>
      </c>
      <c r="B39" t="inlineStr">
        <is>
          <t>John</t>
        </is>
      </c>
      <c r="C39" t="inlineStr">
        <is>
          <t>Johnson</t>
        </is>
      </c>
      <c r="D39" t="inlineStr">
        <is>
          <t>john.johnson@company.com</t>
        </is>
      </c>
      <c r="E39" t="inlineStr">
        <is>
          <t>Finance</t>
        </is>
      </c>
      <c r="F39" t="inlineStr">
        <is>
          <t>Financial Analyst</t>
        </is>
      </c>
      <c r="G39" s="2" t="n">
        <v>44379</v>
      </c>
      <c r="H39" s="3" t="n">
        <v>65157.98</v>
      </c>
      <c r="I39" t="inlineStr">
        <is>
          <t>Active</t>
        </is>
      </c>
    </row>
    <row r="40">
      <c r="A40" t="inlineStr">
        <is>
          <t>EMP1039</t>
        </is>
      </c>
      <c r="B40" t="inlineStr">
        <is>
          <t>Thomas</t>
        </is>
      </c>
      <c r="C40" t="inlineStr">
        <is>
          <t>Jones</t>
        </is>
      </c>
      <c r="D40" t="inlineStr">
        <is>
          <t>thomas.jones@company.com</t>
        </is>
      </c>
      <c r="E40" t="inlineStr">
        <is>
          <t>Operations</t>
        </is>
      </c>
      <c r="F40" t="inlineStr">
        <is>
          <t>Warehouse Manager</t>
        </is>
      </c>
      <c r="G40" s="2" t="n">
        <v>44714</v>
      </c>
      <c r="H40" s="3" t="n">
        <v>60710.25</v>
      </c>
      <c r="I40" t="inlineStr">
        <is>
          <t>Active</t>
        </is>
      </c>
    </row>
    <row r="41">
      <c r="A41" t="inlineStr">
        <is>
          <t>EMP1040</t>
        </is>
      </c>
      <c r="B41" t="inlineStr">
        <is>
          <t>Lisa</t>
        </is>
      </c>
      <c r="C41" t="inlineStr">
        <is>
          <t>Hernandez</t>
        </is>
      </c>
      <c r="D41" t="inlineStr">
        <is>
          <t>lisa.hernandez@company.com</t>
        </is>
      </c>
      <c r="E41" t="inlineStr">
        <is>
          <t>IT</t>
        </is>
      </c>
      <c r="F41" t="inlineStr">
        <is>
          <t>DevOps Engineer</t>
        </is>
      </c>
      <c r="G41" s="2" t="n">
        <v>44380</v>
      </c>
      <c r="H41" s="3" t="n">
        <v>118937.64</v>
      </c>
      <c r="I41" t="inlineStr">
        <is>
          <t>Active</t>
        </is>
      </c>
    </row>
    <row r="42">
      <c r="A42" t="inlineStr">
        <is>
          <t>EMP1041</t>
        </is>
      </c>
      <c r="B42" t="inlineStr">
        <is>
          <t>Lisa</t>
        </is>
      </c>
      <c r="C42" t="inlineStr">
        <is>
          <t>Lopez</t>
        </is>
      </c>
      <c r="D42" t="inlineStr">
        <is>
          <t>lisa.lopez@company.com</t>
        </is>
      </c>
      <c r="E42" t="inlineStr">
        <is>
          <t>Marketing</t>
        </is>
      </c>
      <c r="F42" t="inlineStr">
        <is>
          <t>SEO Specialist</t>
        </is>
      </c>
      <c r="G42" s="2" t="n">
        <v>44963</v>
      </c>
      <c r="H42" s="3" t="n">
        <v>107322.44</v>
      </c>
      <c r="I42" t="inlineStr">
        <is>
          <t>Active</t>
        </is>
      </c>
    </row>
    <row r="43">
      <c r="A43" t="inlineStr">
        <is>
          <t>EMP1042</t>
        </is>
      </c>
      <c r="B43" t="inlineStr">
        <is>
          <t>Joseph</t>
        </is>
      </c>
      <c r="C43" t="inlineStr">
        <is>
          <t>Garcia</t>
        </is>
      </c>
      <c r="D43" t="inlineStr">
        <is>
          <t>joseph.garcia@company.com</t>
        </is>
      </c>
      <c r="E43" t="inlineStr">
        <is>
          <t>IT</t>
        </is>
      </c>
      <c r="F43" t="inlineStr">
        <is>
          <t>QA Analyst</t>
        </is>
      </c>
      <c r="G43" s="2" t="n">
        <v>45238</v>
      </c>
      <c r="H43" s="3" t="n">
        <v>78960.78</v>
      </c>
      <c r="I43" t="inlineStr">
        <is>
          <t>Active</t>
        </is>
      </c>
    </row>
    <row r="44">
      <c r="A44" t="inlineStr">
        <is>
          <t>EMP1043</t>
        </is>
      </c>
      <c r="B44" t="inlineStr">
        <is>
          <t>John</t>
        </is>
      </c>
      <c r="C44" t="inlineStr">
        <is>
          <t>Rodriguez</t>
        </is>
      </c>
      <c r="D44" t="inlineStr">
        <is>
          <t>john.rodriguez@company.com</t>
        </is>
      </c>
      <c r="E44" t="inlineStr">
        <is>
          <t>IT</t>
        </is>
      </c>
      <c r="F44" t="inlineStr">
        <is>
          <t>System Admin</t>
        </is>
      </c>
      <c r="G44" s="2" t="n">
        <v>44064</v>
      </c>
      <c r="H44" s="3" t="n">
        <v>55094.72</v>
      </c>
      <c r="I44" t="inlineStr">
        <is>
          <t>Active</t>
        </is>
      </c>
    </row>
    <row r="45">
      <c r="A45" t="inlineStr">
        <is>
          <t>EMP1044</t>
        </is>
      </c>
      <c r="B45" t="inlineStr">
        <is>
          <t>Joseph</t>
        </is>
      </c>
      <c r="C45" t="inlineStr">
        <is>
          <t>Johnson</t>
        </is>
      </c>
      <c r="D45" t="inlineStr">
        <is>
          <t>joseph.johnson@company.com</t>
        </is>
      </c>
      <c r="E45" t="inlineStr">
        <is>
          <t>Finance</t>
        </is>
      </c>
      <c r="F45" t="inlineStr">
        <is>
          <t>Controller</t>
        </is>
      </c>
      <c r="G45" s="2" t="n">
        <v>45203</v>
      </c>
      <c r="H45" s="3" t="n">
        <v>94917.03999999999</v>
      </c>
      <c r="I45" t="inlineStr">
        <is>
          <t>Active</t>
        </is>
      </c>
    </row>
    <row r="46">
      <c r="A46" t="inlineStr">
        <is>
          <t>EMP1045</t>
        </is>
      </c>
      <c r="B46" t="inlineStr">
        <is>
          <t>Michael</t>
        </is>
      </c>
      <c r="C46" t="inlineStr">
        <is>
          <t>Hernandez</t>
        </is>
      </c>
      <c r="D46" t="inlineStr">
        <is>
          <t>michael.hernandez@company.com</t>
        </is>
      </c>
      <c r="E46" t="inlineStr">
        <is>
          <t>Marketing</t>
        </is>
      </c>
      <c r="F46" t="inlineStr">
        <is>
          <t>SEO Specialist</t>
        </is>
      </c>
      <c r="G46" s="2" t="n">
        <v>44819</v>
      </c>
      <c r="H46" s="3" t="n">
        <v>70840.49000000001</v>
      </c>
      <c r="I46" t="inlineStr">
        <is>
          <t>Active</t>
        </is>
      </c>
    </row>
    <row r="47">
      <c r="A47" t="inlineStr">
        <is>
          <t>EMP1046</t>
        </is>
      </c>
      <c r="B47" t="inlineStr">
        <is>
          <t>William</t>
        </is>
      </c>
      <c r="C47" t="inlineStr">
        <is>
          <t>Johnson</t>
        </is>
      </c>
      <c r="D47" t="inlineStr">
        <is>
          <t>william.johnson@company.com</t>
        </is>
      </c>
      <c r="E47" t="inlineStr">
        <is>
          <t>HR</t>
        </is>
      </c>
      <c r="F47" t="inlineStr">
        <is>
          <t>HR Manager</t>
        </is>
      </c>
      <c r="G47" s="2" t="n">
        <v>45258</v>
      </c>
      <c r="H47" s="3" t="n">
        <v>80307.84</v>
      </c>
      <c r="I47" t="inlineStr">
        <is>
          <t>On Leave</t>
        </is>
      </c>
    </row>
    <row r="48">
      <c r="A48" t="inlineStr">
        <is>
          <t>EMP1047</t>
        </is>
      </c>
      <c r="B48" t="inlineStr">
        <is>
          <t>Elizabeth</t>
        </is>
      </c>
      <c r="C48" t="inlineStr">
        <is>
          <t>Taylor</t>
        </is>
      </c>
      <c r="D48" t="inlineStr">
        <is>
          <t>elizabeth.taylor@company.com</t>
        </is>
      </c>
      <c r="E48" t="inlineStr">
        <is>
          <t>Marketing</t>
        </is>
      </c>
      <c r="F48" t="inlineStr">
        <is>
          <t>Content Writer</t>
        </is>
      </c>
      <c r="G48" s="2" t="n">
        <v>44609</v>
      </c>
      <c r="H48" s="3" t="n">
        <v>118338.7</v>
      </c>
      <c r="I48" t="inlineStr">
        <is>
          <t>Active</t>
        </is>
      </c>
    </row>
    <row r="49">
      <c r="A49" t="inlineStr">
        <is>
          <t>EMP1048</t>
        </is>
      </c>
      <c r="B49" t="inlineStr">
        <is>
          <t>Elizabeth</t>
        </is>
      </c>
      <c r="C49" t="inlineStr">
        <is>
          <t>Jones</t>
        </is>
      </c>
      <c r="D49" t="inlineStr">
        <is>
          <t>elizabeth.jones@company.com</t>
        </is>
      </c>
      <c r="E49" t="inlineStr">
        <is>
          <t>Finance</t>
        </is>
      </c>
      <c r="F49" t="inlineStr">
        <is>
          <t>Accountant</t>
        </is>
      </c>
      <c r="G49" s="2" t="n">
        <v>43918</v>
      </c>
      <c r="H49" s="3" t="n">
        <v>96253.41</v>
      </c>
      <c r="I49" t="inlineStr">
        <is>
          <t>Active</t>
        </is>
      </c>
    </row>
    <row r="50">
      <c r="A50" t="inlineStr">
        <is>
          <t>EMP1049</t>
        </is>
      </c>
      <c r="B50" t="inlineStr">
        <is>
          <t>Lisa</t>
        </is>
      </c>
      <c r="C50" t="inlineStr">
        <is>
          <t>Hernandez</t>
        </is>
      </c>
      <c r="D50" t="inlineStr">
        <is>
          <t>lisa.hernandez@company.com</t>
        </is>
      </c>
      <c r="E50" t="inlineStr">
        <is>
          <t>Marketing</t>
        </is>
      </c>
      <c r="F50" t="inlineStr">
        <is>
          <t>Content Writer</t>
        </is>
      </c>
      <c r="G50" s="2" t="n">
        <v>44709</v>
      </c>
      <c r="H50" s="3" t="n">
        <v>63138.54</v>
      </c>
      <c r="I50" t="inlineStr">
        <is>
          <t>Active</t>
        </is>
      </c>
    </row>
    <row r="51">
      <c r="A51" t="inlineStr">
        <is>
          <t>EMP1050</t>
        </is>
      </c>
      <c r="B51" t="inlineStr">
        <is>
          <t>Linda</t>
        </is>
      </c>
      <c r="C51" t="inlineStr">
        <is>
          <t>Miller</t>
        </is>
      </c>
      <c r="D51" t="inlineStr">
        <is>
          <t>linda.miller@company.com</t>
        </is>
      </c>
      <c r="E51" t="inlineStr">
        <is>
          <t>Sales</t>
        </is>
      </c>
      <c r="F51" t="inlineStr">
        <is>
          <t>Sales Rep</t>
        </is>
      </c>
      <c r="G51" s="2" t="n">
        <v>44810</v>
      </c>
      <c r="H51" s="3" t="n">
        <v>47987.22</v>
      </c>
      <c r="I5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Department</t>
        </is>
      </c>
      <c r="B1" s="1" t="inlineStr">
        <is>
          <t>Employee Count</t>
        </is>
      </c>
      <c r="C1" s="1" t="inlineStr">
        <is>
          <t>Total Payroll</t>
        </is>
      </c>
      <c r="D1" s="1" t="inlineStr">
        <is>
          <t>Average Salary</t>
        </is>
      </c>
    </row>
    <row r="2">
      <c r="A2" t="inlineStr">
        <is>
          <t>IT</t>
        </is>
      </c>
      <c r="B2">
        <f>COUNTIF('Employee Directory'!E:E,A2)</f>
        <v/>
      </c>
      <c r="C2" s="3">
        <f>SUMIF('Employee Directory'!E:E,A2,'Employee Directory'!H:H)</f>
        <v/>
      </c>
      <c r="D2" s="3">
        <f>C2/B2</f>
        <v/>
      </c>
    </row>
    <row r="3">
      <c r="A3" t="inlineStr">
        <is>
          <t>Sales</t>
        </is>
      </c>
      <c r="B3">
        <f>COUNTIF('Employee Directory'!E:E,A3)</f>
        <v/>
      </c>
      <c r="C3" s="3">
        <f>SUMIF('Employee Directory'!E:E,A3,'Employee Directory'!H:H)</f>
        <v/>
      </c>
      <c r="D3" s="3">
        <f>C3/B3</f>
        <v/>
      </c>
    </row>
    <row r="4">
      <c r="A4" t="inlineStr">
        <is>
          <t>Marketing</t>
        </is>
      </c>
      <c r="B4">
        <f>COUNTIF('Employee Directory'!E:E,A4)</f>
        <v/>
      </c>
      <c r="C4" s="3">
        <f>SUMIF('Employee Directory'!E:E,A4,'Employee Directory'!H:H)</f>
        <v/>
      </c>
      <c r="D4" s="3">
        <f>C4/B4</f>
        <v/>
      </c>
    </row>
    <row r="5">
      <c r="A5" t="inlineStr">
        <is>
          <t>HR</t>
        </is>
      </c>
      <c r="B5">
        <f>COUNTIF('Employee Directory'!E:E,A5)</f>
        <v/>
      </c>
      <c r="C5" s="3">
        <f>SUMIF('Employee Directory'!E:E,A5,'Employee Directory'!H:H)</f>
        <v/>
      </c>
      <c r="D5" s="3">
        <f>C5/B5</f>
        <v/>
      </c>
    </row>
    <row r="6">
      <c r="A6" t="inlineStr">
        <is>
          <t>Finance</t>
        </is>
      </c>
      <c r="B6">
        <f>COUNTIF('Employee Directory'!E:E,A6)</f>
        <v/>
      </c>
      <c r="C6" s="3">
        <f>SUMIF('Employee Directory'!E:E,A6,'Employee Directory'!H:H)</f>
        <v/>
      </c>
      <c r="D6" s="3">
        <f>C6/B6</f>
        <v/>
      </c>
    </row>
    <row r="7">
      <c r="A7" t="inlineStr">
        <is>
          <t>Operations</t>
        </is>
      </c>
      <c r="B7">
        <f>COUNTIF('Employee Directory'!E:E,A7)</f>
        <v/>
      </c>
      <c r="C7" s="3">
        <f>SUMIF('Employee Directory'!E:E,A7,'Employee Directory'!H:H)</f>
        <v/>
      </c>
      <c r="D7" s="3">
        <f>C7/B7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Salary Range</t>
        </is>
      </c>
      <c r="B1" s="1" t="inlineStr">
        <is>
          <t>Employee Count</t>
        </is>
      </c>
      <c r="C1" s="1" t="inlineStr">
        <is>
          <t>Percentage</t>
        </is>
      </c>
    </row>
    <row r="2">
      <c r="A2" t="inlineStr">
        <is>
          <t>$0-$50K</t>
        </is>
      </c>
      <c r="B2">
        <f>COUNTIFS('Employee Directory'!H:H,"&gt;=0",'Employee Directory'!H:H,"&lt;50000")</f>
        <v/>
      </c>
      <c r="C2" s="4">
        <f>B2/SUM(B$2:B$5)</f>
        <v/>
      </c>
    </row>
    <row r="3">
      <c r="A3" t="inlineStr">
        <is>
          <t>$50K-$70K</t>
        </is>
      </c>
      <c r="B3">
        <f>COUNTIFS('Employee Directory'!H:H,"&gt;=50000",'Employee Directory'!H:H,"&lt;70000")</f>
        <v/>
      </c>
      <c r="C3" s="4">
        <f>B3/SUM(B$2:B$5)</f>
        <v/>
      </c>
    </row>
    <row r="4">
      <c r="A4" t="inlineStr">
        <is>
          <t>$70K-$90K</t>
        </is>
      </c>
      <c r="B4">
        <f>COUNTIFS('Employee Directory'!H:H,"&gt;=70000",'Employee Directory'!H:H,"&lt;90000")</f>
        <v/>
      </c>
      <c r="C4" s="4">
        <f>B4/SUM(B$2:B$5)</f>
        <v/>
      </c>
    </row>
    <row r="5">
      <c r="A5" t="inlineStr">
        <is>
          <t>$90K+</t>
        </is>
      </c>
      <c r="B5">
        <f>COUNTIF('Employee Directory'!H:H,"&gt;=90000")</f>
        <v/>
      </c>
      <c r="C5" s="4">
        <f>B5/SUM(B$2:B$5)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2025-11-18T13:22:30Z</dcterms:created>
  <dcterms:modified xsi:type="dcterms:W3CDTF">2025-11-18T13:22:30Z</dcterms:modified>
</cp:coreProperties>
</file>