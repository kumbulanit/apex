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Budget" sheetId="1" state="visible" r:id="rId1"/>
    <sheet name="Quarterly Summary" sheetId="2" state="visible" r:id="rId2"/>
    <sheet name="Budget vs Ac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  <c r="O1" s="1" t="inlineStr">
        <is>
          <t>Average</t>
        </is>
      </c>
    </row>
    <row r="2">
      <c r="A2" t="inlineStr">
        <is>
          <t>Salaries</t>
        </is>
      </c>
      <c r="B2" s="2" t="n">
        <v>8314.129999999999</v>
      </c>
      <c r="C2" s="2" t="n">
        <v>8950.77</v>
      </c>
      <c r="D2" s="2" t="n">
        <v>8980.34</v>
      </c>
      <c r="E2" s="2" t="n">
        <v>7832.55</v>
      </c>
      <c r="F2" s="2" t="n">
        <v>7499</v>
      </c>
      <c r="G2" s="2" t="n">
        <v>8701.98</v>
      </c>
      <c r="H2" s="2" t="n">
        <v>8140.39</v>
      </c>
      <c r="I2" s="2" t="n">
        <v>8398.27</v>
      </c>
      <c r="J2" s="2" t="n">
        <v>8483.299999999999</v>
      </c>
      <c r="K2" s="2" t="n">
        <v>8493.35</v>
      </c>
      <c r="L2" s="2" t="n">
        <v>7479.5</v>
      </c>
      <c r="M2" s="2" t="n">
        <v>8084.85</v>
      </c>
      <c r="N2" s="2">
        <f>SUM(B2:M2)</f>
        <v/>
      </c>
      <c r="O2" s="2">
        <f>AVERAGE(B2:M2)</f>
        <v/>
      </c>
    </row>
    <row r="3">
      <c r="A3" t="inlineStr">
        <is>
          <t>Rent</t>
        </is>
      </c>
      <c r="B3" s="2" t="n">
        <v>2102.65</v>
      </c>
      <c r="C3" s="2" t="n">
        <v>2103.68</v>
      </c>
      <c r="D3" s="2" t="n">
        <v>2253.19</v>
      </c>
      <c r="E3" s="2" t="n">
        <v>2233.41</v>
      </c>
      <c r="F3" s="2" t="n">
        <v>2332.79</v>
      </c>
      <c r="G3" s="2" t="n">
        <v>2180.15</v>
      </c>
      <c r="H3" s="2" t="n">
        <v>2166.07</v>
      </c>
      <c r="I3" s="2" t="n">
        <v>2089.82</v>
      </c>
      <c r="J3" s="2" t="n">
        <v>2162.93</v>
      </c>
      <c r="K3" s="2" t="n">
        <v>2077.47</v>
      </c>
      <c r="L3" s="2" t="n">
        <v>2314.09</v>
      </c>
      <c r="M3" s="2" t="n">
        <v>2236.14</v>
      </c>
      <c r="N3" s="2">
        <f>SUM(B3:M3)</f>
        <v/>
      </c>
      <c r="O3" s="2">
        <f>AVERAGE(B3:M3)</f>
        <v/>
      </c>
    </row>
    <row r="4">
      <c r="A4" t="inlineStr">
        <is>
          <t>Utilities</t>
        </is>
      </c>
      <c r="B4" s="2" t="n">
        <v>7417.93</v>
      </c>
      <c r="C4" s="2" t="n">
        <v>6798.93</v>
      </c>
      <c r="D4" s="2" t="n">
        <v>7195.57</v>
      </c>
      <c r="E4" s="2" t="n">
        <v>7705.98</v>
      </c>
      <c r="F4" s="2" t="n">
        <v>6531.62</v>
      </c>
      <c r="G4" s="2" t="n">
        <v>6642.95</v>
      </c>
      <c r="H4" s="2" t="n">
        <v>7359.32</v>
      </c>
      <c r="I4" s="2" t="n">
        <v>7728.37</v>
      </c>
      <c r="J4" s="2" t="n">
        <v>7752.85</v>
      </c>
      <c r="K4" s="2" t="n">
        <v>7142.79</v>
      </c>
      <c r="L4" s="2" t="n">
        <v>7094.87</v>
      </c>
      <c r="M4" s="2" t="n">
        <v>6877.37</v>
      </c>
      <c r="N4" s="2">
        <f>SUM(B4:M4)</f>
        <v/>
      </c>
      <c r="O4" s="2">
        <f>AVERAGE(B4:M4)</f>
        <v/>
      </c>
    </row>
    <row r="5">
      <c r="A5" t="inlineStr">
        <is>
          <t>Marketing</t>
        </is>
      </c>
      <c r="B5" s="2" t="n">
        <v>4375.54</v>
      </c>
      <c r="C5" s="2" t="n">
        <v>4917.97</v>
      </c>
      <c r="D5" s="2" t="n">
        <v>4722.48</v>
      </c>
      <c r="E5" s="2" t="n">
        <v>4510.62</v>
      </c>
      <c r="F5" s="2" t="n">
        <v>5028.98</v>
      </c>
      <c r="G5" s="2" t="n">
        <v>4873.67</v>
      </c>
      <c r="H5" s="2" t="n">
        <v>4382.05</v>
      </c>
      <c r="I5" s="2" t="n">
        <v>4561.4</v>
      </c>
      <c r="J5" s="2" t="n">
        <v>4231.23</v>
      </c>
      <c r="K5" s="2" t="n">
        <v>4594.64</v>
      </c>
      <c r="L5" s="2" t="n">
        <v>4456.76</v>
      </c>
      <c r="M5" s="2" t="n">
        <v>4585.95</v>
      </c>
      <c r="N5" s="2">
        <f>SUM(B5:M5)</f>
        <v/>
      </c>
      <c r="O5" s="2">
        <f>AVERAGE(B5:M5)</f>
        <v/>
      </c>
    </row>
    <row r="6">
      <c r="A6" t="inlineStr">
        <is>
          <t>Office Supplies</t>
        </is>
      </c>
      <c r="B6" s="2" t="n">
        <v>8302.860000000001</v>
      </c>
      <c r="C6" s="2" t="n">
        <v>8384.530000000001</v>
      </c>
      <c r="D6" s="2" t="n">
        <v>8418.860000000001</v>
      </c>
      <c r="E6" s="2" t="n">
        <v>8039.21</v>
      </c>
      <c r="F6" s="2" t="n">
        <v>7385.41</v>
      </c>
      <c r="G6" s="2" t="n">
        <v>7984.11</v>
      </c>
      <c r="H6" s="2" t="n">
        <v>7692.16</v>
      </c>
      <c r="I6" s="2" t="n">
        <v>8313.65</v>
      </c>
      <c r="J6" s="2" t="n">
        <v>8035.47</v>
      </c>
      <c r="K6" s="2" t="n">
        <v>7545.28</v>
      </c>
      <c r="L6" s="2" t="n">
        <v>8455.51</v>
      </c>
      <c r="M6" s="2" t="n">
        <v>7936.86</v>
      </c>
      <c r="N6" s="2">
        <f>SUM(B6:M6)</f>
        <v/>
      </c>
      <c r="O6" s="2">
        <f>AVERAGE(B6:M6)</f>
        <v/>
      </c>
    </row>
    <row r="7">
      <c r="A7" t="inlineStr">
        <is>
          <t>Travel</t>
        </is>
      </c>
      <c r="B7" s="2" t="n">
        <v>13659.38</v>
      </c>
      <c r="C7" s="2" t="n">
        <v>14048.72</v>
      </c>
      <c r="D7" s="2" t="n">
        <v>12851.65</v>
      </c>
      <c r="E7" s="2" t="n">
        <v>12398.22</v>
      </c>
      <c r="F7" s="2" t="n">
        <v>13994.34</v>
      </c>
      <c r="G7" s="2" t="n">
        <v>13657.74</v>
      </c>
      <c r="H7" s="2" t="n">
        <v>13318.51</v>
      </c>
      <c r="I7" s="2" t="n">
        <v>12536.02</v>
      </c>
      <c r="J7" s="2" t="n">
        <v>13560.81</v>
      </c>
      <c r="K7" s="2" t="n">
        <v>12608.59</v>
      </c>
      <c r="L7" s="2" t="n">
        <v>12363.43</v>
      </c>
      <c r="M7" s="2" t="n">
        <v>14396.41</v>
      </c>
      <c r="N7" s="2">
        <f>SUM(B7:M7)</f>
        <v/>
      </c>
      <c r="O7" s="2">
        <f>AVERAGE(B7:M7)</f>
        <v/>
      </c>
    </row>
    <row r="8">
      <c r="A8" t="inlineStr">
        <is>
          <t>IT Services</t>
        </is>
      </c>
      <c r="B8" s="2" t="n">
        <v>10649.74</v>
      </c>
      <c r="C8" s="2" t="n">
        <v>10457.26</v>
      </c>
      <c r="D8" s="2" t="n">
        <v>9242.59</v>
      </c>
      <c r="E8" s="2" t="n">
        <v>10133.62</v>
      </c>
      <c r="F8" s="2" t="n">
        <v>10451.97</v>
      </c>
      <c r="G8" s="2" t="n">
        <v>10432.01</v>
      </c>
      <c r="H8" s="2" t="n">
        <v>9599.24</v>
      </c>
      <c r="I8" s="2" t="n">
        <v>10930.68</v>
      </c>
      <c r="J8" s="2" t="n">
        <v>10669.83</v>
      </c>
      <c r="K8" s="2" t="n">
        <v>9267.77</v>
      </c>
      <c r="L8" s="2" t="n">
        <v>10662.79</v>
      </c>
      <c r="M8" s="2" t="n">
        <v>10017.58</v>
      </c>
      <c r="N8" s="2">
        <f>SUM(B8:M8)</f>
        <v/>
      </c>
      <c r="O8" s="2">
        <f>AVERAGE(B8:M8)</f>
        <v/>
      </c>
    </row>
    <row r="9">
      <c r="A9" t="inlineStr">
        <is>
          <t>Insurance</t>
        </is>
      </c>
      <c r="B9" s="2" t="n">
        <v>7832.62</v>
      </c>
      <c r="C9" s="2" t="n">
        <v>8489.99</v>
      </c>
      <c r="D9" s="2" t="n">
        <v>7567.48</v>
      </c>
      <c r="E9" s="2" t="n">
        <v>7751.12</v>
      </c>
      <c r="F9" s="2" t="n">
        <v>7485.5</v>
      </c>
      <c r="G9" s="2" t="n">
        <v>7198.86</v>
      </c>
      <c r="H9" s="2" t="n">
        <v>7070.83</v>
      </c>
      <c r="I9" s="2" t="n">
        <v>7855.83</v>
      </c>
      <c r="J9" s="2" t="n">
        <v>7450.39</v>
      </c>
      <c r="K9" s="2" t="n">
        <v>8142.06</v>
      </c>
      <c r="L9" s="2" t="n">
        <v>7248.86</v>
      </c>
      <c r="M9" s="2" t="n">
        <v>7698.65</v>
      </c>
      <c r="N9" s="2">
        <f>SUM(B9:M9)</f>
        <v/>
      </c>
      <c r="O9" s="2">
        <f>AVERAGE(B9:M9)</f>
        <v/>
      </c>
    </row>
    <row r="10">
      <c r="A10" t="inlineStr">
        <is>
          <t>Miscellaneous</t>
        </is>
      </c>
      <c r="B10" s="2" t="n">
        <v>14247.09</v>
      </c>
      <c r="C10" s="2" t="n">
        <v>15688.21</v>
      </c>
      <c r="D10" s="2" t="n">
        <v>15070.44</v>
      </c>
      <c r="E10" s="2" t="n">
        <v>14893.19</v>
      </c>
      <c r="F10" s="2" t="n">
        <v>14503.46</v>
      </c>
      <c r="G10" s="2" t="n">
        <v>15748.31</v>
      </c>
      <c r="H10" s="2" t="n">
        <v>14551.93</v>
      </c>
      <c r="I10" s="2" t="n">
        <v>14368.93</v>
      </c>
      <c r="J10" s="2" t="n">
        <v>13849.19</v>
      </c>
      <c r="K10" s="2" t="n">
        <v>14636.2</v>
      </c>
      <c r="L10" s="2" t="n">
        <v>14681.17</v>
      </c>
      <c r="M10" s="2" t="n">
        <v>13292.37</v>
      </c>
      <c r="N10" s="2">
        <f>SUM(B10:M10)</f>
        <v/>
      </c>
      <c r="O10" s="2">
        <f>AVERAGE(B10:M10)</f>
        <v/>
      </c>
    </row>
    <row r="11">
      <c r="A11" s="3" t="inlineStr">
        <is>
          <t>TOTAL</t>
        </is>
      </c>
      <c r="B11" s="4">
        <f>SUM(B2:B10)</f>
        <v/>
      </c>
      <c r="C11" s="4">
        <f>SUM(B2:B10)</f>
        <v/>
      </c>
      <c r="D11" s="4">
        <f>SUM(B2:B10)</f>
        <v/>
      </c>
      <c r="E11" s="4">
        <f>SUM(B2:B10)</f>
        <v/>
      </c>
      <c r="F11" s="4">
        <f>SUM(B2:B10)</f>
        <v/>
      </c>
      <c r="G11" s="4">
        <f>SUM(B2:B10)</f>
        <v/>
      </c>
      <c r="H11" s="4">
        <f>SUM(B2:B10)</f>
        <v/>
      </c>
      <c r="I11" s="4">
        <f>SUM(B2:B10)</f>
        <v/>
      </c>
      <c r="J11" s="4">
        <f>SUM(B2:B10)</f>
        <v/>
      </c>
      <c r="K11" s="4">
        <f>SUM(B2:B10)</f>
        <v/>
      </c>
      <c r="L11" s="4">
        <f>SUM(B2:B10)</f>
        <v/>
      </c>
      <c r="M11" s="4">
        <f>SUM(B2:B10)</f>
        <v/>
      </c>
      <c r="N11" s="4">
        <f>SUM(N2:N10)</f>
        <v/>
      </c>
      <c r="O11" s="4">
        <f>AVERAGE(B11:M11)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Category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Salaries</t>
        </is>
      </c>
      <c r="B2" s="2">
        <f>SUM('Monthly Budget'!B2:D2)</f>
        <v/>
      </c>
      <c r="C2" s="2">
        <f>SUM('Monthly Budget'!E2:G2)</f>
        <v/>
      </c>
      <c r="D2" s="2">
        <f>SUM('Monthly Budget'!H2:J2)</f>
        <v/>
      </c>
      <c r="E2" s="2">
        <f>SUM('Monthly Budget'!K2:M2)</f>
        <v/>
      </c>
      <c r="F2" s="2">
        <f>SUM(B3:E3)</f>
        <v/>
      </c>
    </row>
    <row r="3">
      <c r="A3" t="inlineStr">
        <is>
          <t>Rent</t>
        </is>
      </c>
      <c r="B3" s="2">
        <f>SUM('Monthly Budget'!B3:D3)</f>
        <v/>
      </c>
      <c r="C3" s="2">
        <f>SUM('Monthly Budget'!E3:G3)</f>
        <v/>
      </c>
      <c r="D3" s="2">
        <f>SUM('Monthly Budget'!H3:J3)</f>
        <v/>
      </c>
      <c r="E3" s="2">
        <f>SUM('Monthly Budget'!K3:M3)</f>
        <v/>
      </c>
      <c r="F3" s="2">
        <f>SUM(B4:E4)</f>
        <v/>
      </c>
    </row>
    <row r="4">
      <c r="A4" t="inlineStr">
        <is>
          <t>Utilities</t>
        </is>
      </c>
      <c r="B4" s="2">
        <f>SUM('Monthly Budget'!B4:D4)</f>
        <v/>
      </c>
      <c r="C4" s="2">
        <f>SUM('Monthly Budget'!E4:G4)</f>
        <v/>
      </c>
      <c r="D4" s="2">
        <f>SUM('Monthly Budget'!H4:J4)</f>
        <v/>
      </c>
      <c r="E4" s="2">
        <f>SUM('Monthly Budget'!K4:M4)</f>
        <v/>
      </c>
      <c r="F4" s="2">
        <f>SUM(B5:E5)</f>
        <v/>
      </c>
    </row>
    <row r="5">
      <c r="A5" t="inlineStr">
        <is>
          <t>Marketing</t>
        </is>
      </c>
      <c r="B5" s="2">
        <f>SUM('Monthly Budget'!B5:D5)</f>
        <v/>
      </c>
      <c r="C5" s="2">
        <f>SUM('Monthly Budget'!E5:G5)</f>
        <v/>
      </c>
      <c r="D5" s="2">
        <f>SUM('Monthly Budget'!H5:J5)</f>
        <v/>
      </c>
      <c r="E5" s="2">
        <f>SUM('Monthly Budget'!K5:M5)</f>
        <v/>
      </c>
      <c r="F5" s="2">
        <f>SUM(B6:E6)</f>
        <v/>
      </c>
    </row>
    <row r="6">
      <c r="A6" t="inlineStr">
        <is>
          <t>Office Supplies</t>
        </is>
      </c>
      <c r="B6" s="2">
        <f>SUM('Monthly Budget'!B6:D6)</f>
        <v/>
      </c>
      <c r="C6" s="2">
        <f>SUM('Monthly Budget'!E6:G6)</f>
        <v/>
      </c>
      <c r="D6" s="2">
        <f>SUM('Monthly Budget'!H6:J6)</f>
        <v/>
      </c>
      <c r="E6" s="2">
        <f>SUM('Monthly Budget'!K6:M6)</f>
        <v/>
      </c>
      <c r="F6" s="2">
        <f>SUM(B7:E7)</f>
        <v/>
      </c>
    </row>
    <row r="7">
      <c r="A7" t="inlineStr">
        <is>
          <t>Travel</t>
        </is>
      </c>
      <c r="B7" s="2">
        <f>SUM('Monthly Budget'!B7:D7)</f>
        <v/>
      </c>
      <c r="C7" s="2">
        <f>SUM('Monthly Budget'!E7:G7)</f>
        <v/>
      </c>
      <c r="D7" s="2">
        <f>SUM('Monthly Budget'!H7:J7)</f>
        <v/>
      </c>
      <c r="E7" s="2">
        <f>SUM('Monthly Budget'!K7:M7)</f>
        <v/>
      </c>
      <c r="F7" s="2">
        <f>SUM(B8:E8)</f>
        <v/>
      </c>
    </row>
    <row r="8">
      <c r="A8" t="inlineStr">
        <is>
          <t>IT Services</t>
        </is>
      </c>
      <c r="B8" s="2">
        <f>SUM('Monthly Budget'!B8:D8)</f>
        <v/>
      </c>
      <c r="C8" s="2">
        <f>SUM('Monthly Budget'!E8:G8)</f>
        <v/>
      </c>
      <c r="D8" s="2">
        <f>SUM('Monthly Budget'!H8:J8)</f>
        <v/>
      </c>
      <c r="E8" s="2">
        <f>SUM('Monthly Budget'!K8:M8)</f>
        <v/>
      </c>
      <c r="F8" s="2">
        <f>SUM(B9:E9)</f>
        <v/>
      </c>
    </row>
    <row r="9">
      <c r="A9" t="inlineStr">
        <is>
          <t>Insurance</t>
        </is>
      </c>
      <c r="B9" s="2">
        <f>SUM('Monthly Budget'!B9:D9)</f>
        <v/>
      </c>
      <c r="C9" s="2">
        <f>SUM('Monthly Budget'!E9:G9)</f>
        <v/>
      </c>
      <c r="D9" s="2">
        <f>SUM('Monthly Budget'!H9:J9)</f>
        <v/>
      </c>
      <c r="E9" s="2">
        <f>SUM('Monthly Budget'!K9:M9)</f>
        <v/>
      </c>
      <c r="F9" s="2">
        <f>SUM(B10:E10)</f>
        <v/>
      </c>
    </row>
    <row r="10">
      <c r="A10" t="inlineStr">
        <is>
          <t>Miscellaneous</t>
        </is>
      </c>
      <c r="B10" s="2">
        <f>SUM('Monthly Budget'!B10:D10)</f>
        <v/>
      </c>
      <c r="C10" s="2">
        <f>SUM('Monthly Budget'!E10:G10)</f>
        <v/>
      </c>
      <c r="D10" s="2">
        <f>SUM('Monthly Budget'!H10:J10)</f>
        <v/>
      </c>
      <c r="E10" s="2">
        <f>SUM('Monthly Budget'!K10:M10)</f>
        <v/>
      </c>
      <c r="F10" s="2">
        <f>SUM(B11:E11)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Budgeted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% Variance</t>
        </is>
      </c>
    </row>
    <row r="2">
      <c r="A2" t="inlineStr">
        <is>
          <t>Salaries</t>
        </is>
      </c>
      <c r="B2" s="2">
        <f>'Monthly Budget'!N2</f>
        <v/>
      </c>
      <c r="C2" s="2" t="n">
        <v>104632.13</v>
      </c>
      <c r="D2" s="2">
        <f>C2-B2</f>
        <v/>
      </c>
      <c r="E2" s="5">
        <f>D2/B2</f>
        <v/>
      </c>
    </row>
    <row r="3">
      <c r="A3" t="inlineStr">
        <is>
          <t>Rent</t>
        </is>
      </c>
      <c r="B3" s="2">
        <f>'Monthly Budget'!N3</f>
        <v/>
      </c>
      <c r="C3" s="2" t="n">
        <v>97163.12</v>
      </c>
      <c r="D3" s="2">
        <f>C3-B3</f>
        <v/>
      </c>
      <c r="E3" s="5">
        <f>D3/B3</f>
        <v/>
      </c>
    </row>
    <row r="4">
      <c r="A4" t="inlineStr">
        <is>
          <t>Utilities</t>
        </is>
      </c>
      <c r="B4" s="2">
        <f>'Monthly Budget'!N4</f>
        <v/>
      </c>
      <c r="C4" s="2" t="n">
        <v>44675.35</v>
      </c>
      <c r="D4" s="2">
        <f>C4-B4</f>
        <v/>
      </c>
      <c r="E4" s="5">
        <f>D4/B4</f>
        <v/>
      </c>
    </row>
    <row r="5">
      <c r="A5" t="inlineStr">
        <is>
          <t>Marketing</t>
        </is>
      </c>
      <c r="B5" s="2">
        <f>'Monthly Budget'!N5</f>
        <v/>
      </c>
      <c r="C5" s="2" t="n">
        <v>140960.66</v>
      </c>
      <c r="D5" s="2">
        <f>C5-B5</f>
        <v/>
      </c>
      <c r="E5" s="5">
        <f>D5/B5</f>
        <v/>
      </c>
    </row>
    <row r="6">
      <c r="A6" t="inlineStr">
        <is>
          <t>Office Supplies</t>
        </is>
      </c>
      <c r="B6" s="2">
        <f>'Monthly Budget'!N6</f>
        <v/>
      </c>
      <c r="C6" s="2" t="n">
        <v>89528.72</v>
      </c>
      <c r="D6" s="2">
        <f>C6-B6</f>
        <v/>
      </c>
      <c r="E6" s="5">
        <f>D6/B6</f>
        <v/>
      </c>
    </row>
    <row r="7">
      <c r="A7" t="inlineStr">
        <is>
          <t>Travel</t>
        </is>
      </c>
      <c r="B7" s="2">
        <f>'Monthly Budget'!N7</f>
        <v/>
      </c>
      <c r="C7" s="2" t="n">
        <v>141231.49</v>
      </c>
      <c r="D7" s="2">
        <f>C7-B7</f>
        <v/>
      </c>
      <c r="E7" s="5">
        <f>D7/B7</f>
        <v/>
      </c>
    </row>
    <row r="8">
      <c r="A8" t="inlineStr">
        <is>
          <t>IT Services</t>
        </is>
      </c>
      <c r="B8" s="2">
        <f>'Monthly Budget'!N8</f>
        <v/>
      </c>
      <c r="C8" s="2" t="n">
        <v>146736.25</v>
      </c>
      <c r="D8" s="2">
        <f>C8-B8</f>
        <v/>
      </c>
      <c r="E8" s="5">
        <f>D8/B8</f>
        <v/>
      </c>
    </row>
    <row r="9">
      <c r="A9" t="inlineStr">
        <is>
          <t>Insurance</t>
        </is>
      </c>
      <c r="B9" s="2">
        <f>'Monthly Budget'!N9</f>
        <v/>
      </c>
      <c r="C9" s="2" t="n">
        <v>41325.62</v>
      </c>
      <c r="D9" s="2">
        <f>C9-B9</f>
        <v/>
      </c>
      <c r="E9" s="5">
        <f>D9/B9</f>
        <v/>
      </c>
    </row>
    <row r="10">
      <c r="A10" t="inlineStr">
        <is>
          <t>Miscellaneous</t>
        </is>
      </c>
      <c r="B10" s="2">
        <f>'Monthly Budget'!N10</f>
        <v/>
      </c>
      <c r="C10" s="2" t="n">
        <v>97626.74000000001</v>
      </c>
      <c r="D10" s="2">
        <f>C10-B10</f>
        <v/>
      </c>
      <c r="E10" s="5">
        <f>D10/B10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2025-11-18T13:22:30Z</dcterms:created>
  <dcterms:modified xsi:type="dcterms:W3CDTF">2025-11-18T13:22:30Z</dcterms:modified>
</cp:coreProperties>
</file>